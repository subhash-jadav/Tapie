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nctional" sheetId="2" state="visible" r:id="rId2"/>
    <sheet name="Screen" sheetId="3" state="visible" r:id="rId3"/>
    <sheet name="Viewports" sheetId="4" state="visible" r:id="rId4"/>
    <sheet name="UI bugs fixed" sheetId="5" state="visible" r:id="rId5"/>
    <sheet name="Security" sheetId="6" state="visible" r:id="rId6"/>
    <sheet name="Residual ris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AF0"/>
    </font>
    <font>
      <name val="Arial"/>
      <color rgb="002B2118"/>
      <sz val="10"/>
    </font>
    <font>
      <name val="Arial"/>
      <b val="1"/>
      <color rgb="002B2118"/>
      <sz val="10"/>
    </font>
    <font>
      <name val="Arial"/>
      <b val="1"/>
      <color rgb="002B2118"/>
      <sz val="16"/>
    </font>
    <font>
      <name val="Arial"/>
      <b val="1"/>
      <color rgb="002B2118"/>
    </font>
    <font>
      <name val="Arial"/>
      <color rgb="002B2118"/>
    </font>
    <font>
      <name val="Arial"/>
      <i val="1"/>
      <color rgb="002B2118"/>
      <sz val="10"/>
    </font>
  </fonts>
  <fills count="4">
    <fill>
      <patternFill/>
    </fill>
    <fill>
      <patternFill patternType="gray125"/>
    </fill>
    <fill>
      <patternFill patternType="solid">
        <fgColor rgb="002B2118"/>
      </patternFill>
    </fill>
    <fill>
      <patternFill patternType="solid">
        <fgColor rgb="00F4EAD5"/>
      </patternFill>
    </fill>
  </fills>
  <borders count="2">
    <border>
      <left/>
      <right/>
      <top/>
      <bottom/>
      <diagonal/>
    </border>
    <border>
      <left style="thin">
        <color rgb="00D8CBB3"/>
      </left>
      <right style="thin">
        <color rgb="00D8CBB3"/>
      </right>
      <top style="thin">
        <color rgb="00D8CBB3"/>
      </top>
      <bottom style="thin">
        <color rgb="00D8CBB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right"/>
    </xf>
    <xf numFmtId="164" fontId="6" fillId="0" borderId="1" pivotButton="0" quotePrefix="0" xfId="0"/>
    <xf numFmtId="0" fontId="5" fillId="3" borderId="1" pivotButton="0" quotePrefix="0" xfId="0"/>
    <xf numFmtId="0" fontId="5" fillId="3" borderId="1" applyAlignment="1" pivotButton="0" quotePrefix="0" xfId="0">
      <alignment horizontal="right"/>
    </xf>
    <xf numFmtId="164" fontId="5" fillId="3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D9EAD3"/>
        </patternFill>
      </fill>
    </dxf>
    <dxf>
      <fill>
        <patternFill patternType="solid">
          <fgColor rgb="00FCE8B2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Functional" displayName="Functional" ref="A1:G60" headerRowCount="1">
  <autoFilter ref="A1:G60"/>
  <tableColumns count="7">
    <tableColumn id="1" name="ID"/>
    <tableColumn id="2" name="Area"/>
    <tableColumn id="3" name="Test case"/>
    <tableColumn id="4" name="Steps"/>
    <tableColumn id="5" name="Expected result"/>
    <tableColumn id="6" name="Status"/>
    <tableColumn id="7" name="Notes"/>
  </tableColumns>
  <tableStyleInfo name="TableStyleLight1" showRowStripes="1"/>
</table>
</file>

<file path=xl/tables/table2.xml><?xml version="1.0" encoding="utf-8"?>
<table xmlns="http://schemas.openxmlformats.org/spreadsheetml/2006/main" id="2" name="Screen" displayName="Screen" ref="A1:E25" headerRowCount="1">
  <autoFilter ref="A1:E25"/>
  <tableColumns count="5">
    <tableColumn id="1" name="ID"/>
    <tableColumn id="2" name="View"/>
    <tableColumn id="3" name="Status"/>
    <tableColumn id="4" name="Viewports"/>
    <tableColumn id="5" name="Notes"/>
  </tableColumns>
  <tableStyleInfo name="TableStyleLight1" showRowStripes="1"/>
</table>
</file>

<file path=xl/tables/table3.xml><?xml version="1.0" encoding="utf-8"?>
<table xmlns="http://schemas.openxmlformats.org/spreadsheetml/2006/main" id="3" name="Viewports" displayName="Viewports" ref="A1:C13" headerRowCount="1">
  <autoFilter ref="A1:C13"/>
  <tableColumns count="3">
    <tableColumn id="1" name="Device class"/>
    <tableColumn id="2" name="Viewport"/>
    <tableColumn id="3" name="Touch"/>
  </tableColumns>
  <tableStyleInfo name="TableStyleLight1" showRowStripes="1"/>
</table>
</file>

<file path=xl/tables/table4.xml><?xml version="1.0" encoding="utf-8"?>
<table xmlns="http://schemas.openxmlformats.org/spreadsheetml/2006/main" id="4" name="UIBugs" displayName="UIBugs" ref="A1:D11" headerRowCount="1">
  <autoFilter ref="A1:D11"/>
  <tableColumns count="4">
    <tableColumn id="1" name="#"/>
    <tableColumn id="2" name="Found"/>
    <tableColumn id="3" name="Where"/>
    <tableColumn id="4" name="Fix"/>
  </tableColumns>
  <tableStyleInfo name="TableStyleLight1" showRowStripes="1"/>
</table>
</file>

<file path=xl/tables/table5.xml><?xml version="1.0" encoding="utf-8"?>
<table xmlns="http://schemas.openxmlformats.org/spreadsheetml/2006/main" id="5" name="Security" displayName="Security" ref="A1:F38" headerRowCount="1">
  <autoFilter ref="A1:F38"/>
  <tableColumns count="6">
    <tableColumn id="1" name="ID"/>
    <tableColumn id="2" name="Category"/>
    <tableColumn id="3" name="Attack / check"/>
    <tableColumn id="4" name="Expected"/>
    <tableColumn id="5" name="Status"/>
    <tableColumn id="6" name="Notes"/>
  </tableColumns>
  <tableStyleInfo name="TableStyleLight1" showRowStripes="1"/>
</table>
</file>

<file path=xl/tables/table6.xml><?xml version="1.0" encoding="utf-8"?>
<table xmlns="http://schemas.openxmlformats.org/spreadsheetml/2006/main" id="6" name="Risks" displayName="Risks" ref="A1:B6" headerRowCount="1">
  <autoFilter ref="A1:B6"/>
  <tableColumns count="2">
    <tableColumn id="1" name="Risk"/>
    <tableColumn id="2" name="Why accepted / mitigation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0" customWidth="1" min="3" max="3"/>
    <col width="14" customWidth="1" min="4" max="4"/>
    <col width="8" customWidth="1" min="5" max="5"/>
    <col width="11" customWidth="1" min="6" max="6"/>
  </cols>
  <sheetData>
    <row r="1">
      <c r="A1" s="1" t="inlineStr">
        <is>
          <t>Tapie — Test Results</t>
        </is>
      </c>
    </row>
    <row r="3">
      <c r="A3" s="2" t="inlineStr">
        <is>
          <t>Build tested</t>
        </is>
      </c>
      <c r="B3" s="3" t="inlineStr">
        <is>
          <t>Production build (npm run build &amp;&amp; npm start) with the full security configuration (CSP, headers)</t>
        </is>
      </c>
    </row>
    <row r="4">
      <c r="A4" s="2" t="inlineStr">
        <is>
          <t>Date</t>
        </is>
      </c>
      <c r="B4" s="3" t="inlineStr">
        <is>
          <t>31 Oct 2026</t>
        </is>
      </c>
    </row>
    <row r="5">
      <c r="A5" s="2" t="inlineStr">
        <is>
          <t>Browser</t>
        </is>
      </c>
      <c r="B5" s="3" t="inlineStr">
        <is>
          <t>Microsoft Edge (Chromium) headless, driven via the Chrome DevTools Protocol</t>
        </is>
      </c>
    </row>
    <row r="7">
      <c r="A7" s="4" t="inlineStr">
        <is>
          <t>Suite</t>
        </is>
      </c>
      <c r="B7" s="4" t="inlineStr">
        <is>
          <t>Total</t>
        </is>
      </c>
      <c r="C7" s="4" t="inlineStr">
        <is>
          <t>Pass</t>
        </is>
      </c>
      <c r="D7" s="4" t="inlineStr">
        <is>
          <t>Fixed &amp; Pass</t>
        </is>
      </c>
      <c r="E7" s="4" t="inlineStr">
        <is>
          <t>Fail</t>
        </is>
      </c>
      <c r="F7" s="4" t="inlineStr">
        <is>
          <t>Pass rate</t>
        </is>
      </c>
    </row>
    <row r="8">
      <c r="A8" s="5" t="inlineStr">
        <is>
          <t>Functional</t>
        </is>
      </c>
      <c r="B8" s="6">
        <f>COUNTA(Functional!$F$2:$F$60)</f>
        <v/>
      </c>
      <c r="C8" s="5">
        <f>COUNTIF(Functional!$F$2:$F$60,"Pass")</f>
        <v/>
      </c>
      <c r="D8" s="5">
        <f>COUNTIF(Functional!$F$2:$F$60,"Fixed &amp; Pass")</f>
        <v/>
      </c>
      <c r="E8" s="5">
        <f>COUNTIF(Functional!$F$2:$F$60,"Fail")</f>
        <v/>
      </c>
      <c r="F8" s="7">
        <f>IF(B8=0,0,(C8+D8)/B8)</f>
        <v/>
      </c>
    </row>
    <row r="9">
      <c r="A9" s="5" t="inlineStr">
        <is>
          <t>Screen (views)</t>
        </is>
      </c>
      <c r="B9" s="6">
        <f>COUNTA(Screen!$C$2:$C$25)</f>
        <v/>
      </c>
      <c r="C9" s="5">
        <f>COUNTIF(Screen!$C$2:$C$25,"Pass")</f>
        <v/>
      </c>
      <c r="D9" s="5">
        <f>COUNTIF(Screen!$C$2:$C$25,"Fixed &amp; Pass")</f>
        <v/>
      </c>
      <c r="E9" s="5">
        <f>COUNTIF(Screen!$C$2:$C$25,"Fail")</f>
        <v/>
      </c>
      <c r="F9" s="7">
        <f>IF(B9=0,0,(C9+D9)/B9)</f>
        <v/>
      </c>
    </row>
    <row r="10">
      <c r="A10" s="5" t="inlineStr">
        <is>
          <t>Security</t>
        </is>
      </c>
      <c r="B10" s="6">
        <f>COUNTA(Security!$E$2:$E$38)</f>
        <v/>
      </c>
      <c r="C10" s="5">
        <f>COUNTIF(Security!$E$2:$E$38,"Pass")</f>
        <v/>
      </c>
      <c r="D10" s="5">
        <f>COUNTIF(Security!$E$2:$E$38,"Fixed &amp; Pass")</f>
        <v/>
      </c>
      <c r="E10" s="5">
        <f>COUNTIF(Security!$E$2:$E$38,"Fail")</f>
        <v/>
      </c>
      <c r="F10" s="7">
        <f>IF(B10=0,0,(C10+D10)/B10)</f>
        <v/>
      </c>
    </row>
    <row r="11">
      <c r="A11" s="8" t="inlineStr">
        <is>
          <t>Total</t>
        </is>
      </c>
      <c r="B11" s="9">
        <f>SUM(B8:B10)</f>
        <v/>
      </c>
      <c r="C11" s="8">
        <f>SUM(C8:C10)</f>
        <v/>
      </c>
      <c r="D11" s="8">
        <f>SUM(D8:D10)</f>
        <v/>
      </c>
      <c r="E11" s="8">
        <f>SUM(E8:E10)</f>
        <v/>
      </c>
      <c r="F11" s="10">
        <f>IF(B11=0,0,(C11+D11)/B11)</f>
        <v/>
      </c>
    </row>
    <row r="12">
      <c r="A12" s="11" t="inlineStr"/>
    </row>
    <row r="13">
      <c r="A13" s="12" t="inlineStr">
        <is>
          <t>How to read this workbook</t>
        </is>
      </c>
    </row>
    <row r="14">
      <c r="A14" s="13" t="inlineStr">
        <is>
          <t>Status values: Pass · Fixed &amp; Pass (failed first, bug fixed, re-tested) · Fail.</t>
        </is>
      </c>
    </row>
    <row r="15">
      <c r="A15" s="13" t="inlineStr">
        <is>
          <t>The Summary counts are formulas over the Status columns — change a status and the totals update.</t>
        </is>
      </c>
    </row>
    <row r="16">
      <c r="A16" s="13" t="inlineStr">
        <is>
          <t>Screen: each view row covers all 12 viewports listed on the Viewports sheet.</t>
        </is>
      </c>
    </row>
    <row r="17">
      <c r="A17" s="13" t="inlineStr">
        <is>
          <t>Source of truth: docs/TEST_CASES.md (this file is generated from it).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6" customWidth="1" min="3" max="3"/>
    <col width="44" customWidth="1" min="4" max="4"/>
    <col width="48" customWidth="1" min="5" max="5"/>
    <col width="14" customWidth="1" min="6" max="6"/>
    <col width="24" customWidth="1" min="7" max="7"/>
  </cols>
  <sheetData>
    <row r="1" ht="22" customHeight="1">
      <c r="A1" s="14" t="inlineStr">
        <is>
          <t>ID</t>
        </is>
      </c>
      <c r="B1" s="14" t="inlineStr">
        <is>
          <t>Area</t>
        </is>
      </c>
      <c r="C1" s="14" t="inlineStr">
        <is>
          <t>Test case</t>
        </is>
      </c>
      <c r="D1" s="14" t="inlineStr">
        <is>
          <t>Steps</t>
        </is>
      </c>
      <c r="E1" s="14" t="inlineStr">
        <is>
          <t>Expected result</t>
        </is>
      </c>
      <c r="F1" s="14" t="inlineStr">
        <is>
          <t>Status</t>
        </is>
      </c>
      <c r="G1" s="14" t="inlineStr">
        <is>
          <t>Notes</t>
        </is>
      </c>
    </row>
    <row r="2">
      <c r="A2" s="15" t="inlineStr">
        <is>
          <t>F01</t>
        </is>
      </c>
      <c r="B2" s="15" t="inlineStr">
        <is>
          <t>Home &amp; create</t>
        </is>
      </c>
      <c r="C2" s="15" t="inlineStr">
        <is>
          <t>Home page loads</t>
        </is>
      </c>
      <c r="D2" s="15" t="inlineStr">
        <is>
          <t>Open /</t>
        </is>
      </c>
      <c r="E2" s="15" t="inlineStr">
        <is>
          <t>Headline "Make someone a mixtape." and "Start your mixtape" button visible</t>
        </is>
      </c>
      <c r="F2" s="16" t="inlineStr">
        <is>
          <t>Pass</t>
        </is>
      </c>
      <c r="G2" s="15" t="inlineStr"/>
    </row>
    <row r="3">
      <c r="A3" s="15" t="inlineStr">
        <is>
          <t>F02</t>
        </is>
      </c>
      <c r="B3" s="15" t="inlineStr">
        <is>
          <t>Home &amp; create</t>
        </is>
      </c>
      <c r="C3" s="15" t="inlineStr">
        <is>
          <t>Start a tape</t>
        </is>
      </c>
      <c r="D3" s="15" t="inlineStr">
        <is>
          <t>Click "Start your mixtape"</t>
        </is>
      </c>
      <c r="E3" s="15" t="inlineStr">
        <is>
          <t>Navigates to /create</t>
        </is>
      </c>
      <c r="F3" s="16" t="inlineStr">
        <is>
          <t>Pass</t>
        </is>
      </c>
      <c r="G3" s="15" t="inlineStr"/>
    </row>
    <row r="4">
      <c r="A4" s="15" t="inlineStr">
        <is>
          <t>F03</t>
        </is>
      </c>
      <c r="B4" s="15" t="inlineStr">
        <is>
          <t>Home &amp; create</t>
        </is>
      </c>
      <c r="C4" s="15" t="inlineStr">
        <is>
          <t>Reject non-YouTube link</t>
        </is>
      </c>
      <c r="D4" s="15" t="inlineStr">
        <is>
          <t>Paste https://example.com/not-youtube, click Fetch</t>
        </is>
      </c>
      <c r="E4" s="15" t="inlineStr">
        <is>
          <t>Message "That doesn't look like a YouTube link."</t>
        </is>
      </c>
      <c r="F4" s="16" t="inlineStr">
        <is>
          <t>Pass</t>
        </is>
      </c>
      <c r="G4" s="15" t="inlineStr"/>
    </row>
    <row r="5">
      <c r="A5" s="15" t="inlineStr">
        <is>
          <t>F04</t>
        </is>
      </c>
      <c r="B5" s="15" t="inlineStr">
        <is>
          <t>Home &amp; create</t>
        </is>
      </c>
      <c r="C5" s="15" t="inlineStr">
        <is>
          <t>Search by song name</t>
        </is>
      </c>
      <c r="D5" s="15" t="inlineStr">
        <is>
          <t>Type "arctic monkeys do i wanna know"</t>
        </is>
      </c>
      <c r="E5" s="15" t="inlineStr">
        <is>
          <t>Result list with thumbnails and "+ Add" buttons appears</t>
        </is>
      </c>
      <c r="F5" s="16" t="inlineStr">
        <is>
          <t>Pass</t>
        </is>
      </c>
      <c r="G5" s="15" t="inlineStr"/>
    </row>
    <row r="6">
      <c r="A6" s="15" t="inlineStr">
        <is>
          <t>F05</t>
        </is>
      </c>
      <c r="B6" s="15" t="inlineStr">
        <is>
          <t>Home &amp; create</t>
        </is>
      </c>
      <c r="C6" s="15" t="inlineStr">
        <is>
          <t>Add a search result</t>
        </is>
      </c>
      <c r="D6" s="15" t="inlineStr">
        <is>
          <t>Click "+ Add" on a result</t>
        </is>
      </c>
      <c r="E6" s="15" t="inlineStr">
        <is>
          <t>Editor opens with the song on the tape</t>
        </is>
      </c>
      <c r="F6" s="16" t="inlineStr">
        <is>
          <t>Pass</t>
        </is>
      </c>
      <c r="G6" s="15" t="inlineStr"/>
    </row>
    <row r="7">
      <c r="A7" s="15" t="inlineStr">
        <is>
          <t>F06</t>
        </is>
      </c>
      <c r="B7" s="15" t="inlineStr">
        <is>
          <t>Home &amp; create</t>
        </is>
      </c>
      <c r="C7" s="15" t="inlineStr">
        <is>
          <t>Automatic mood styling</t>
        </is>
      </c>
      <c r="D7" s="15" t="inlineStr">
        <is>
          <t>After the first song is added</t>
        </is>
      </c>
      <c r="E7" s="15" t="inlineStr">
        <is>
          <t>Vibe chip shows a generated mood (e.g. "moody · mellow · balanced") and the design is applied</t>
        </is>
      </c>
      <c r="F7" s="16" t="inlineStr">
        <is>
          <t>Pass</t>
        </is>
      </c>
      <c r="G7" s="15" t="inlineStr"/>
    </row>
    <row r="8">
      <c r="A8" s="15" t="inlineStr">
        <is>
          <t>F07</t>
        </is>
      </c>
      <c r="B8" s="15" t="inlineStr">
        <is>
          <t>Songs</t>
        </is>
      </c>
      <c r="C8" s="15" t="inlineStr">
        <is>
          <t>Import a whole playlist</t>
        </is>
      </c>
      <c r="D8" s="15" t="inlineStr">
        <is>
          <t>Songs tab → paste a 100-song playlist link → Add</t>
        </is>
      </c>
      <c r="E8" s="15" t="inlineStr">
        <is>
          <t>"Added 99 songs · 1 didn't fit (max 100)"</t>
        </is>
      </c>
      <c r="F8" s="16" t="inlineStr">
        <is>
          <t>Pass</t>
        </is>
      </c>
      <c r="G8" s="15" t="inlineStr"/>
    </row>
    <row r="9">
      <c r="A9" s="15" t="inlineStr">
        <is>
          <t>F08</t>
        </is>
      </c>
      <c r="B9" s="15" t="inlineStr">
        <is>
          <t>Songs</t>
        </is>
      </c>
      <c r="C9" s="15" t="inlineStr">
        <is>
          <t>Duplicate detection</t>
        </is>
      </c>
      <c r="D9" s="15" t="inlineStr">
        <is>
          <t>Paste a link of a song already on the tape</t>
        </is>
      </c>
      <c r="E9" s="15" t="inlineStr">
        <is>
          <t>"… already on the tape", nothing added twice</t>
        </is>
      </c>
      <c r="F9" s="16" t="inlineStr">
        <is>
          <t>Pass</t>
        </is>
      </c>
      <c r="G9" s="15" t="inlineStr"/>
    </row>
    <row r="10">
      <c r="A10" s="15" t="inlineStr">
        <is>
          <t>F09</t>
        </is>
      </c>
      <c r="B10" s="15" t="inlineStr">
        <is>
          <t>Songs</t>
        </is>
      </c>
      <c r="C10" s="15" t="inlineStr">
        <is>
          <t>Remove a song</t>
        </is>
      </c>
      <c r="D10" s="15" t="inlineStr">
        <is>
          <t>Click ✕ on a song</t>
        </is>
      </c>
      <c r="E10" s="15" t="inlineStr">
        <is>
          <t>Song count decreases by 1</t>
        </is>
      </c>
      <c r="F10" s="16" t="inlineStr">
        <is>
          <t>Pass</t>
        </is>
      </c>
      <c r="G10" s="15" t="inlineStr"/>
    </row>
    <row r="11">
      <c r="A11" s="15" t="inlineStr">
        <is>
          <t>F10</t>
        </is>
      </c>
      <c r="B11" s="15" t="inlineStr">
        <is>
          <t>Songs</t>
        </is>
      </c>
      <c r="C11" s="15" t="inlineStr">
        <is>
          <t>Reorder songs</t>
        </is>
      </c>
      <c r="D11" s="15" t="inlineStr">
        <is>
          <t>Click ▲ on the 2nd song</t>
        </is>
      </c>
      <c r="E11" s="15" t="inlineStr">
        <is>
          <t>It becomes the 1st song</t>
        </is>
      </c>
      <c r="F11" s="16" t="inlineStr">
        <is>
          <t>Pass</t>
        </is>
      </c>
      <c r="G11" s="15" t="inlineStr"/>
    </row>
    <row r="12">
      <c r="A12" s="15" t="inlineStr">
        <is>
          <t>F11</t>
        </is>
      </c>
      <c r="B12" s="15" t="inlineStr">
        <is>
          <t>Songs</t>
        </is>
      </c>
      <c r="C12" s="15" t="inlineStr">
        <is>
          <t>Move a song to the other side</t>
        </is>
      </c>
      <c r="D12" s="15" t="inlineStr">
        <is>
          <t>Click "→B"</t>
        </is>
      </c>
      <c r="E12" s="15" t="inlineStr">
        <is>
          <t>Song appears under SIDE B</t>
        </is>
      </c>
      <c r="F12" s="16" t="inlineStr">
        <is>
          <t>Pass</t>
        </is>
      </c>
      <c r="G12" s="15" t="inlineStr"/>
    </row>
    <row r="13">
      <c r="A13" s="15" t="inlineStr">
        <is>
          <t>F12</t>
        </is>
      </c>
      <c r="B13" s="15" t="inlineStr">
        <is>
          <t>Decorating</t>
        </is>
      </c>
      <c r="C13" s="15" t="inlineStr">
        <is>
          <t>Add a sticker</t>
        </is>
      </c>
      <c r="D13" s="15" t="inlineStr">
        <is>
          <t>Stickers tab → click ⭐</t>
        </is>
      </c>
      <c r="E13" s="15" t="inlineStr">
        <is>
          <t>Sticker appears on the current surface, selected</t>
        </is>
      </c>
      <c r="F13" s="16" t="inlineStr">
        <is>
          <t>Pass</t>
        </is>
      </c>
      <c r="G13" s="15" t="inlineStr"/>
    </row>
    <row r="14">
      <c r="A14" s="15" t="inlineStr">
        <is>
          <t>F13</t>
        </is>
      </c>
      <c r="B14" s="15" t="inlineStr">
        <is>
          <t>Decorating</t>
        </is>
      </c>
      <c r="C14" s="15" t="inlineStr">
        <is>
          <t>Drag a sticker</t>
        </is>
      </c>
      <c r="D14" s="15" t="inlineStr">
        <is>
          <t>Drag it 120 px left, 40 px up</t>
        </is>
      </c>
      <c r="E14" s="15" t="inlineStr">
        <is>
          <t>Sticker moves exactly with the pointer</t>
        </is>
      </c>
      <c r="F14" s="16" t="inlineStr">
        <is>
          <t>Pass</t>
        </is>
      </c>
      <c r="G14" s="15" t="inlineStr"/>
    </row>
    <row r="15">
      <c r="A15" s="15" t="inlineStr">
        <is>
          <t>F14</t>
        </is>
      </c>
      <c r="B15" s="15" t="inlineStr">
        <is>
          <t>Decorating</t>
        </is>
      </c>
      <c r="C15" s="15" t="inlineStr">
        <is>
          <t>Resize &amp; rotate</t>
        </is>
      </c>
      <c r="D15" s="15" t="inlineStr">
        <is>
          <t>Drag the ↻ handle outward</t>
        </is>
      </c>
      <c r="E15" s="15" t="inlineStr">
        <is>
          <t>Sticker grows (and rotates with the angle)</t>
        </is>
      </c>
      <c r="F15" s="16" t="inlineStr">
        <is>
          <t>Pass</t>
        </is>
      </c>
      <c r="G15" s="15" t="inlineStr"/>
    </row>
    <row r="16">
      <c r="A16" s="15" t="inlineStr">
        <is>
          <t>F15</t>
        </is>
      </c>
      <c r="B16" s="15" t="inlineStr">
        <is>
          <t>Decorating</t>
        </is>
      </c>
      <c r="C16" s="15" t="inlineStr">
        <is>
          <t>Delete with keyboard</t>
        </is>
      </c>
      <c r="D16" s="15" t="inlineStr">
        <is>
          <t>Press Delete while selected</t>
        </is>
      </c>
      <c r="E16" s="15" t="inlineStr">
        <is>
          <t>Sticker removed</t>
        </is>
      </c>
      <c r="F16" s="16" t="inlineStr">
        <is>
          <t>Pass</t>
        </is>
      </c>
      <c r="G16" s="15" t="inlineStr"/>
    </row>
    <row r="17">
      <c r="A17" s="15" t="inlineStr">
        <is>
          <t>F16</t>
        </is>
      </c>
      <c r="B17" s="15" t="inlineStr">
        <is>
          <t>Decorating</t>
        </is>
      </c>
      <c r="C17" s="15" t="inlineStr">
        <is>
          <t>Add text</t>
        </is>
      </c>
      <c r="D17" s="15" t="inlineStr">
        <is>
          <t>Text tab → type "hello friend" → Add text</t>
        </is>
      </c>
      <c r="E17" s="15" t="inlineStr">
        <is>
          <t>Text sticker appears in the chosen font/style</t>
        </is>
      </c>
      <c r="F17" s="16" t="inlineStr">
        <is>
          <t>Pass</t>
        </is>
      </c>
      <c r="G17" s="15" t="inlineStr"/>
    </row>
    <row r="18">
      <c r="A18" s="15" t="inlineStr">
        <is>
          <t>F17</t>
        </is>
      </c>
      <c r="B18" s="15" t="inlineStr">
        <is>
          <t>Decorating</t>
        </is>
      </c>
      <c r="C18" s="15" t="inlineStr">
        <is>
          <t>Add a photo</t>
        </is>
      </c>
      <c r="D18" s="15" t="inlineStr">
        <is>
          <t>Photos tab → upload an image</t>
        </is>
      </c>
      <c r="E18" s="15" t="inlineStr">
        <is>
          <t>Image is compressed and shown as a polaroid</t>
        </is>
      </c>
      <c r="F18" s="16" t="inlineStr">
        <is>
          <t>Pass</t>
        </is>
      </c>
      <c r="G18" s="15" t="inlineStr"/>
    </row>
    <row r="19">
      <c r="A19" s="15" t="inlineStr">
        <is>
          <t>F18</t>
        </is>
      </c>
      <c r="B19" s="15" t="inlineStr">
        <is>
          <t>Decorating</t>
        </is>
      </c>
      <c r="C19" s="15" t="inlineStr">
        <is>
          <t>Shuffle</t>
        </is>
      </c>
      <c r="D19" s="15" t="inlineStr">
        <is>
          <t>Click 🎲 Shuffle</t>
        </is>
      </c>
      <c r="E19" s="15" t="inlineStr">
        <is>
          <t>A different design is generated (same mood)</t>
        </is>
      </c>
      <c r="F19" s="16" t="inlineStr">
        <is>
          <t>Pass</t>
        </is>
      </c>
      <c r="G19" s="15" t="inlineStr"/>
    </row>
    <row r="20">
      <c r="A20" s="15" t="inlineStr">
        <is>
          <t>F19</t>
        </is>
      </c>
      <c r="B20" s="15" t="inlineStr">
        <is>
          <t>Decorating</t>
        </is>
      </c>
      <c r="C20" s="15" t="inlineStr">
        <is>
          <t>Undo restyle</t>
        </is>
      </c>
      <c r="D20" s="15" t="inlineStr">
        <is>
          <t>After Shuffle</t>
        </is>
      </c>
      <c r="E20" s="15" t="inlineStr">
        <is>
          <t>Toast with an "Undo" button appears</t>
        </is>
      </c>
      <c r="F20" s="16" t="inlineStr">
        <is>
          <t>Pass</t>
        </is>
      </c>
      <c r="G20" s="15" t="inlineStr"/>
    </row>
    <row r="21">
      <c r="A21" s="15" t="inlineStr">
        <is>
          <t>F20</t>
        </is>
      </c>
      <c r="B21" s="15" t="inlineStr">
        <is>
          <t>Decorating</t>
        </is>
      </c>
      <c r="C21" s="15" t="inlineStr">
        <is>
          <t>Steer the mood</t>
        </is>
      </c>
      <c r="D21" s="15" t="inlineStr">
        <is>
          <t>Vibe menu → Retro</t>
        </is>
      </c>
      <c r="E21" s="15" t="inlineStr">
        <is>
          <t>Mood changes to "bright · vintage · warm" and the design follows</t>
        </is>
      </c>
      <c r="F21" s="16" t="inlineStr">
        <is>
          <t>Pass</t>
        </is>
      </c>
      <c r="G21" s="15" t="inlineStr"/>
    </row>
    <row r="22">
      <c r="A22" s="15" t="inlineStr">
        <is>
          <t>F21</t>
        </is>
      </c>
      <c r="B22" s="15" t="inlineStr">
        <is>
          <t>Decorating</t>
        </is>
      </c>
      <c r="C22" s="15" t="inlineStr">
        <is>
          <t>Song-art cover</t>
        </is>
      </c>
      <c r="D22" s="15" t="inlineStr">
        <is>
          <t>Vibe menu → Song collage</t>
        </is>
      </c>
      <c r="E22" s="15" t="inlineStr">
        <is>
          <t>A 2×2 collage of song art becomes the cover photo</t>
        </is>
      </c>
      <c r="F22" s="16" t="inlineStr">
        <is>
          <t>Pass</t>
        </is>
      </c>
      <c r="G22" s="15" t="inlineStr"/>
    </row>
    <row r="23">
      <c r="A23" s="15" t="inlineStr">
        <is>
          <t>F22</t>
        </is>
      </c>
      <c r="B23" s="15" t="inlineStr">
        <is>
          <t>Decorating</t>
        </is>
      </c>
      <c r="C23" s="15" t="inlineStr">
        <is>
          <t>Flip to the inside</t>
        </is>
      </c>
      <c r="D23" s="15" t="inlineStr">
        <is>
          <t>Click "Case · Inside"</t>
        </is>
      </c>
      <c r="E23" s="15" t="inlineStr">
        <is>
          <t>Inside card with note and SIDE A / SIDE B tracklist</t>
        </is>
      </c>
      <c r="F23" s="16" t="inlineStr">
        <is>
          <t>Pass</t>
        </is>
      </c>
      <c r="G23" s="15" t="inlineStr"/>
    </row>
    <row r="24">
      <c r="A24" s="15" t="inlineStr">
        <is>
          <t>F23</t>
        </is>
      </c>
      <c r="B24" s="15" t="inlineStr">
        <is>
          <t>Decorating</t>
        </is>
      </c>
      <c r="C24" s="15" t="inlineStr">
        <is>
          <t>Note fields</t>
        </is>
      </c>
      <c r="D24" s="15" t="inlineStr">
        <is>
          <t>Inside tab → To "Priya", message</t>
        </is>
      </c>
      <c r="E24" s="15" t="inlineStr">
        <is>
          <t>Inside card shows "Dear Priya," and the message</t>
        </is>
      </c>
      <c r="F24" s="16" t="inlineStr">
        <is>
          <t>Pass</t>
        </is>
      </c>
      <c r="G24" s="15" t="inlineStr"/>
    </row>
    <row r="25">
      <c r="A25" s="15" t="inlineStr">
        <is>
          <t>F24</t>
        </is>
      </c>
      <c r="B25" s="15" t="inlineStr">
        <is>
          <t>Saving, links &amp; editing</t>
        </is>
      </c>
      <c r="C25" s="15" t="inlineStr">
        <is>
          <t>Save &amp; share</t>
        </is>
      </c>
      <c r="D25" s="15" t="inlineStr">
        <is>
          <t>Click "Save &amp; share"</t>
        </is>
      </c>
      <c r="E25" s="15" t="inlineStr">
        <is>
          <t>Dialog "Your mixtape is ready!" with share link and secret edit link</t>
        </is>
      </c>
      <c r="F25" s="16" t="inlineStr">
        <is>
          <t>Pass</t>
        </is>
      </c>
      <c r="G25" s="15" t="inlineStr"/>
    </row>
    <row r="26">
      <c r="A26" s="15" t="inlineStr">
        <is>
          <t>F25</t>
        </is>
      </c>
      <c r="B26" s="15" t="inlineStr">
        <is>
          <t>Saving, links &amp; editing</t>
        </is>
      </c>
      <c r="C26" s="15" t="inlineStr">
        <is>
          <t>Edit URL</t>
        </is>
      </c>
      <c r="D26" s="15" t="inlineStr">
        <is>
          <t>After saving</t>
        </is>
      </c>
      <c r="E26" s="15" t="inlineStr">
        <is>
          <t>Address bar becomes /edit/&lt;10-char id&gt;#&lt;24-char key&gt;</t>
        </is>
      </c>
      <c r="F26" s="16" t="inlineStr">
        <is>
          <t>Pass</t>
        </is>
      </c>
      <c r="G26" s="15" t="inlineStr"/>
    </row>
    <row r="27">
      <c r="A27" s="15" t="inlineStr">
        <is>
          <t>F26</t>
        </is>
      </c>
      <c r="B27" s="15" t="inlineStr">
        <is>
          <t>Saving, links &amp; editing</t>
        </is>
      </c>
      <c r="C27" s="15" t="inlineStr">
        <is>
          <t>Re-open with edit link</t>
        </is>
      </c>
      <c r="D27" s="15" t="inlineStr">
        <is>
          <t>Open the edit link in a new tab</t>
        </is>
      </c>
      <c r="E27" s="15" t="inlineStr">
        <is>
          <t>Editor loads the saved tape</t>
        </is>
      </c>
      <c r="F27" s="16" t="inlineStr">
        <is>
          <t>Pass</t>
        </is>
      </c>
      <c r="G27" s="15" t="inlineStr"/>
    </row>
    <row r="28">
      <c r="A28" s="15" t="inlineStr">
        <is>
          <t>F27</t>
        </is>
      </c>
      <c r="B28" s="15" t="inlineStr">
        <is>
          <t>Saving, links &amp; editing</t>
        </is>
      </c>
      <c r="C28" s="15" t="inlineStr">
        <is>
          <t>Wrong edit key</t>
        </is>
      </c>
      <c r="D28" s="15" t="inlineStr">
        <is>
          <t>Open /edit/&lt;id&gt;#wrongkey (fresh browser)</t>
        </is>
      </c>
      <c r="E28" s="15" t="inlineStr">
        <is>
          <t>"This edit link isn't valid", with a "Listen to it" option</t>
        </is>
      </c>
      <c r="F28" s="16" t="inlineStr">
        <is>
          <t>Pass</t>
        </is>
      </c>
      <c r="G28" s="15" t="inlineStr"/>
    </row>
    <row r="29">
      <c r="A29" s="15" t="inlineStr">
        <is>
          <t>F37</t>
        </is>
      </c>
      <c r="B29" s="15" t="inlineStr">
        <is>
          <t>Saving, links &amp; editing</t>
        </is>
      </c>
      <c r="C29" s="15" t="inlineStr">
        <is>
          <t>"Your tapes" list</t>
        </is>
      </c>
      <c r="D29" s="15" t="inlineStr">
        <is>
          <t>Open the home page after saving</t>
        </is>
      </c>
      <c r="E29" s="15" t="inlineStr">
        <is>
          <t>Tape listed under "Your tapes" with Play / Edit</t>
        </is>
      </c>
      <c r="F29" s="16" t="inlineStr">
        <is>
          <t>Pass</t>
        </is>
      </c>
      <c r="G29" s="15" t="inlineStr"/>
    </row>
    <row r="30">
      <c r="A30" s="15" t="inlineStr">
        <is>
          <t>F38</t>
        </is>
      </c>
      <c r="B30" s="15" t="inlineStr">
        <is>
          <t>Saving, links &amp; editing</t>
        </is>
      </c>
      <c r="C30" s="15" t="inlineStr">
        <is>
          <t>Draft restore</t>
        </is>
      </c>
      <c r="D30" s="15" t="inlineStr">
        <is>
          <t>Add a song on /create, reload (accept "leave site?")</t>
        </is>
      </c>
      <c r="E30" s="15" t="inlineStr">
        <is>
          <t>Banner "We restored your unsaved mixtape" and the songs are back</t>
        </is>
      </c>
      <c r="F30" s="16" t="inlineStr">
        <is>
          <t>Fixed &amp; Pass</t>
        </is>
      </c>
      <c r="G30" s="15" t="inlineStr"/>
    </row>
    <row r="31">
      <c r="A31" s="15" t="inlineStr">
        <is>
          <t>F39</t>
        </is>
      </c>
      <c r="B31" s="15" t="inlineStr">
        <is>
          <t>Saving, links &amp; editing</t>
        </is>
      </c>
      <c r="C31" s="15" t="inlineStr">
        <is>
          <t>Start over</t>
        </is>
      </c>
      <c r="D31" s="15" t="inlineStr">
        <is>
          <t>Click "Start over" on the banner</t>
        </is>
      </c>
      <c r="E31" s="15" t="inlineStr">
        <is>
          <t>Draft cleared, back to "What's on the tape?"</t>
        </is>
      </c>
      <c r="F31" s="16" t="inlineStr">
        <is>
          <t>Pass</t>
        </is>
      </c>
      <c r="G31" s="15" t="inlineStr"/>
    </row>
    <row r="32">
      <c r="A32" s="15" t="inlineStr">
        <is>
          <t>F40</t>
        </is>
      </c>
      <c r="B32" s="15" t="inlineStr">
        <is>
          <t>Saving, links &amp; editing</t>
        </is>
      </c>
      <c r="C32" s="15" t="inlineStr">
        <is>
          <t>Delete</t>
        </is>
      </c>
      <c r="D32" s="15" t="inlineStr">
        <is>
          <t>Delete the tape with its key</t>
        </is>
      </c>
      <c r="E32" s="15" t="inlineStr">
        <is>
          <t>Share link returns 404</t>
        </is>
      </c>
      <c r="F32" s="16" t="inlineStr">
        <is>
          <t>Pass</t>
        </is>
      </c>
      <c r="G32" s="15" t="inlineStr"/>
    </row>
    <row r="33">
      <c r="A33" s="15" t="inlineStr">
        <is>
          <t>F41</t>
        </is>
      </c>
      <c r="B33" s="15" t="inlineStr">
        <is>
          <t>Saving, links &amp; editing</t>
        </is>
      </c>
      <c r="C33" s="15" t="inlineStr">
        <is>
          <t>404 page</t>
        </is>
      </c>
      <c r="D33" s="15" t="inlineStr">
        <is>
          <t>Open an unknown URL</t>
        </is>
      </c>
      <c r="E33" s="15" t="inlineStr">
        <is>
          <t>Custom "This mixtape got lost" page</t>
        </is>
      </c>
      <c r="F33" s="16" t="inlineStr">
        <is>
          <t>Pass</t>
        </is>
      </c>
      <c r="G33" s="15" t="inlineStr"/>
    </row>
    <row r="34">
      <c r="A34" s="15" t="inlineStr">
        <is>
          <t>F28</t>
        </is>
      </c>
      <c r="B34" s="15" t="inlineStr">
        <is>
          <t>Share page &amp; player</t>
        </is>
      </c>
      <c r="C34" s="15" t="inlineStr">
        <is>
          <t>Share page</t>
        </is>
      </c>
      <c r="D34" s="15" t="inlineStr">
        <is>
          <t>Open /c/&lt;id&gt;</t>
        </is>
      </c>
      <c r="E34" s="15" t="inlineStr">
        <is>
          <t>Title, from/to, case, tape and tracklist shown</t>
        </is>
      </c>
      <c r="F34" s="16" t="inlineStr">
        <is>
          <t>Pass</t>
        </is>
      </c>
      <c r="G34" s="15" t="inlineStr"/>
    </row>
    <row r="35">
      <c r="A35" s="15" t="inlineStr">
        <is>
          <t>F29</t>
        </is>
      </c>
      <c r="B35" s="15" t="inlineStr">
        <is>
          <t>Share page &amp; player</t>
        </is>
      </c>
      <c r="C35" s="15" t="inlineStr">
        <is>
          <t>Open the case</t>
        </is>
      </c>
      <c r="D35" s="15" t="inlineStr">
        <is>
          <t>Click "Open the case"</t>
        </is>
      </c>
      <c r="E35" s="15" t="inlineStr">
        <is>
          <t>Case flips to the inside (note + tracklist)</t>
        </is>
      </c>
      <c r="F35" s="16" t="inlineStr">
        <is>
          <t>Pass</t>
        </is>
      </c>
      <c r="G35" s="15" t="inlineStr"/>
    </row>
    <row r="36">
      <c r="A36" s="15" t="inlineStr">
        <is>
          <t>F30</t>
        </is>
      </c>
      <c r="B36" s="15" t="inlineStr">
        <is>
          <t>Share page &amp; player</t>
        </is>
      </c>
      <c r="C36" s="15" t="inlineStr">
        <is>
          <t>Player loads</t>
        </is>
      </c>
      <c r="D36" s="15" t="inlineStr">
        <is>
          <t>Wait for the player</t>
        </is>
      </c>
      <c r="E36" s="15" t="inlineStr">
        <is>
          <t>Play button becomes enabled (YouTube API loaded under the CSP)</t>
        </is>
      </c>
      <c r="F36" s="16" t="inlineStr">
        <is>
          <t>Pass</t>
        </is>
      </c>
      <c r="G36" s="15" t="inlineStr"/>
    </row>
    <row r="37">
      <c r="A37" s="15" t="inlineStr">
        <is>
          <t>F31</t>
        </is>
      </c>
      <c r="B37" s="15" t="inlineStr">
        <is>
          <t>Share page &amp; player</t>
        </is>
      </c>
      <c r="C37" s="15" t="inlineStr">
        <is>
          <t>Play</t>
        </is>
      </c>
      <c r="D37" s="15" t="inlineStr">
        <is>
          <t>Click ▶</t>
        </is>
      </c>
      <c r="E37" s="15" t="inlineStr">
        <is>
          <t>Music plays; button becomes ❚❚; reels spin</t>
        </is>
      </c>
      <c r="F37" s="16" t="inlineStr">
        <is>
          <t>Pass</t>
        </is>
      </c>
      <c r="G37" s="15" t="inlineStr"/>
    </row>
    <row r="38">
      <c r="A38" s="15" t="inlineStr">
        <is>
          <t>F32</t>
        </is>
      </c>
      <c r="B38" s="15" t="inlineStr">
        <is>
          <t>Share page &amp; player</t>
        </is>
      </c>
      <c r="C38" s="15" t="inlineStr">
        <is>
          <t>Hidden video</t>
        </is>
      </c>
      <c r="D38" s="15" t="inlineStr">
        <is>
          <t>While playing</t>
        </is>
      </c>
      <c r="E38" s="15" t="inlineStr">
        <is>
          <t>YouTube video invisible (opacity 0)</t>
        </is>
      </c>
      <c r="F38" s="16" t="inlineStr">
        <is>
          <t>Pass</t>
        </is>
      </c>
      <c r="G38" s="15" t="inlineStr"/>
    </row>
    <row r="39">
      <c r="A39" s="15" t="inlineStr">
        <is>
          <t>F33</t>
        </is>
      </c>
      <c r="B39" s="15" t="inlineStr">
        <is>
          <t>Share page &amp; player</t>
        </is>
      </c>
      <c r="C39" s="15" t="inlineStr">
        <is>
          <t>Next track</t>
        </is>
      </c>
      <c r="D39" s="15" t="inlineStr">
        <is>
          <t>Click ⏭</t>
        </is>
      </c>
      <c r="E39" s="15" t="inlineStr">
        <is>
          <t>Screen shows "· 02/"</t>
        </is>
      </c>
      <c r="F39" s="16" t="inlineStr">
        <is>
          <t>Pass</t>
        </is>
      </c>
      <c r="G39" s="15" t="inlineStr"/>
    </row>
    <row r="40">
      <c r="A40" s="15" t="inlineStr">
        <is>
          <t>F34</t>
        </is>
      </c>
      <c r="B40" s="15" t="inlineStr">
        <is>
          <t>Share page &amp; player</t>
        </is>
      </c>
      <c r="C40" s="15" t="inlineStr">
        <is>
          <t>Side switch</t>
        </is>
      </c>
      <c r="D40" s="15" t="inlineStr">
        <is>
          <t>Click B on the A/B switch</t>
        </is>
      </c>
      <c r="E40" s="15" t="inlineStr">
        <is>
          <t>Screen shows "SIDE B"; tape flips to side B</t>
        </is>
      </c>
      <c r="F40" s="16" t="inlineStr">
        <is>
          <t>Pass</t>
        </is>
      </c>
      <c r="G40" s="15" t="inlineStr"/>
    </row>
    <row r="41">
      <c r="A41" s="15" t="inlineStr">
        <is>
          <t>F35</t>
        </is>
      </c>
      <c r="B41" s="15" t="inlineStr">
        <is>
          <t>Share page &amp; player</t>
        </is>
      </c>
      <c r="C41" s="15" t="inlineStr">
        <is>
          <t>Show video</t>
        </is>
      </c>
      <c r="D41" s="15" t="inlineStr">
        <is>
          <t>Click 📺</t>
        </is>
      </c>
      <c r="E41" s="15" t="inlineStr">
        <is>
          <t>Video appears and the music keeps playing</t>
        </is>
      </c>
      <c r="F41" s="16" t="inlineStr">
        <is>
          <t>Pass</t>
        </is>
      </c>
      <c r="G41" s="15" t="inlineStr"/>
    </row>
    <row r="42">
      <c r="A42" s="15" t="inlineStr">
        <is>
          <t>F36</t>
        </is>
      </c>
      <c r="B42" s="15" t="inlineStr">
        <is>
          <t>Share page &amp; player</t>
        </is>
      </c>
      <c r="C42" s="15" t="inlineStr">
        <is>
          <t>Pause</t>
        </is>
      </c>
      <c r="D42" s="15" t="inlineStr">
        <is>
          <t>Click ❚❚</t>
        </is>
      </c>
      <c r="E42" s="15" t="inlineStr">
        <is>
          <t>Playback pauses</t>
        </is>
      </c>
      <c r="F42" s="16" t="inlineStr">
        <is>
          <t>Pass</t>
        </is>
      </c>
      <c r="G42" s="15" t="inlineStr"/>
    </row>
    <row r="43">
      <c r="A43" s="15" t="inlineStr">
        <is>
          <t>S-CSP</t>
        </is>
      </c>
      <c r="B43" s="15" t="inlineStr">
        <is>
          <t>Whole-run checks</t>
        </is>
      </c>
      <c r="C43" s="15" t="inlineStr">
        <is>
          <t>Content-Security-Policy violations during all flows</t>
        </is>
      </c>
      <c r="D43" s="15" t="inlineStr">
        <is>
          <t>Automatic, during all flows</t>
        </is>
      </c>
      <c r="E43" s="15" t="inlineStr">
        <is>
          <t>none</t>
        </is>
      </c>
      <c r="F43" s="16" t="inlineStr">
        <is>
          <t>Pass</t>
        </is>
      </c>
      <c r="G43" s="15" t="inlineStr"/>
    </row>
    <row r="44">
      <c r="A44" s="15" t="inlineStr">
        <is>
          <t>S-JS</t>
        </is>
      </c>
      <c r="B44" s="15" t="inlineStr">
        <is>
          <t>Whole-run checks</t>
        </is>
      </c>
      <c r="C44" s="15" t="inlineStr">
        <is>
          <t>JavaScript errors during all flows</t>
        </is>
      </c>
      <c r="D44" s="15" t="inlineStr">
        <is>
          <t>Automatic, during all flows</t>
        </is>
      </c>
      <c r="E44" s="15" t="inlineStr">
        <is>
          <t>none</t>
        </is>
      </c>
      <c r="F44" s="16" t="inlineStr">
        <is>
          <t>Pass</t>
        </is>
      </c>
      <c r="G44" s="15" t="inlineStr"/>
    </row>
    <row r="45">
      <c r="A45" s="15" t="inlineStr">
        <is>
          <t>T01</t>
        </is>
      </c>
      <c r="B45" s="15" t="inlineStr">
        <is>
          <t>Themes (dark mode &amp; random palettes)</t>
        </is>
      </c>
      <c r="C45" s="15" t="inlineStr">
        <is>
          <t>Dark mode</t>
        </is>
      </c>
      <c r="D45" s="15" t="inlineStr">
        <is>
          <t>Home → click ☾</t>
        </is>
      </c>
      <c r="E45" s="15" t="inlineStr">
        <is>
          <t>Whole UI switches to the dark (espresso) theme; button turns into ☀</t>
        </is>
      </c>
      <c r="F45" s="16" t="inlineStr">
        <is>
          <t>Pass</t>
        </is>
      </c>
      <c r="G45" s="15" t="inlineStr"/>
    </row>
    <row r="46">
      <c r="A46" s="15" t="inlineStr">
        <is>
          <t>T02</t>
        </is>
      </c>
      <c r="B46" s="15" t="inlineStr">
        <is>
          <t>Themes (dark mode &amp; random palettes)</t>
        </is>
      </c>
      <c r="C46" s="15" t="inlineStr">
        <is>
          <t>Light mode</t>
        </is>
      </c>
      <c r="D46" s="15" t="inlineStr">
        <is>
          <t>Click ☀</t>
        </is>
      </c>
      <c r="E46" s="15" t="inlineStr">
        <is>
          <t>Back to the light theme</t>
        </is>
      </c>
      <c r="F46" s="16" t="inlineStr">
        <is>
          <t>Pass</t>
        </is>
      </c>
      <c r="G46" s="15" t="inlineStr"/>
    </row>
    <row r="47">
      <c r="A47" s="15" t="inlineStr">
        <is>
          <t>T03</t>
        </is>
      </c>
      <c r="B47" s="15" t="inlineStr">
        <is>
          <t>Themes (dark mode &amp; random palettes)</t>
        </is>
      </c>
      <c r="C47" s="15" t="inlineStr">
        <is>
          <t>Random theme</t>
        </is>
      </c>
      <c r="D47" s="15" t="inlineStr">
        <is>
          <t>Click 🎲</t>
        </is>
      </c>
      <c r="E47" s="15" t="inlineStr">
        <is>
          <t>A curated palette (e.g. "Sage", "Midnight plum") is applied and its name is shown briefly</t>
        </is>
      </c>
      <c r="F47" s="16" t="inlineStr">
        <is>
          <t>Pass</t>
        </is>
      </c>
      <c r="G47" s="15" t="inlineStr"/>
    </row>
    <row r="48">
      <c r="A48" s="15" t="inlineStr">
        <is>
          <t>T04</t>
        </is>
      </c>
      <c r="B48" s="15" t="inlineStr">
        <is>
          <t>Themes (dark mode &amp; random palettes)</t>
        </is>
      </c>
      <c r="C48" s="15" t="inlineStr">
        <is>
          <t>Theme is remembered</t>
        </is>
      </c>
      <c r="D48" s="15" t="inlineStr">
        <is>
          <t>Pick a theme, reload / open another page</t>
        </is>
      </c>
      <c r="E48" s="15" t="inlineStr">
        <is>
          <t>Same theme, no flash of the wrong colours on load</t>
        </is>
      </c>
      <c r="F48" s="16" t="inlineStr">
        <is>
          <t>Pass</t>
        </is>
      </c>
      <c r="G48" s="15" t="inlineStr"/>
    </row>
    <row r="49">
      <c r="A49" s="15" t="inlineStr">
        <is>
          <t>T05</t>
        </is>
      </c>
      <c r="B49" s="15" t="inlineStr">
        <is>
          <t>Themes (dark mode &amp; random palettes)</t>
        </is>
      </c>
      <c r="C49" s="15" t="inlineStr">
        <is>
          <t>System preference</t>
        </is>
      </c>
      <c r="D49" s="15" t="inlineStr">
        <is>
          <t>First visit with the OS in dark mode</t>
        </is>
      </c>
      <c r="E49" s="15" t="inlineStr">
        <is>
          <t>Site opens in dark mode</t>
        </is>
      </c>
      <c r="F49" s="16" t="inlineStr">
        <is>
          <t>Pass</t>
        </is>
      </c>
      <c r="G49" s="15" t="inlineStr"/>
    </row>
    <row r="50">
      <c r="A50" s="15" t="inlineStr">
        <is>
          <t>T06</t>
        </is>
      </c>
      <c r="B50" s="15" t="inlineStr">
        <is>
          <t>Themes (dark mode &amp; random palettes)</t>
        </is>
      </c>
      <c r="C50" s="15" t="inlineStr">
        <is>
          <t>Editor in dark mode</t>
        </is>
      </c>
      <c r="D50" s="15" t="inlineStr">
        <is>
          <t>Open the editor with dark theme</t>
        </is>
      </c>
      <c r="E50" s="15" t="inlineStr">
        <is>
          <t>Panels, inputs, chips and buttons readable; cassette art unchanged</t>
        </is>
      </c>
      <c r="F50" s="16" t="inlineStr">
        <is>
          <t>Pass</t>
        </is>
      </c>
      <c r="G50" s="15" t="inlineStr"/>
    </row>
    <row r="51">
      <c r="A51" s="15" t="inlineStr">
        <is>
          <t>T07</t>
        </is>
      </c>
      <c r="B51" s="15" t="inlineStr">
        <is>
          <t>Themes (dark mode &amp; random palettes)</t>
        </is>
      </c>
      <c r="C51" s="15" t="inlineStr">
        <is>
          <t>Shared tape default</t>
        </is>
      </c>
      <c r="D51" s="15" t="inlineStr">
        <is>
          <t>Open a share link with any theme set</t>
        </is>
      </c>
      <c r="E51" s="15" t="inlineStr">
        <is>
          <t>The creator's backdrop and design are shown</t>
        </is>
      </c>
      <c r="F51" s="16" t="inlineStr">
        <is>
          <t>Fixed &amp; Pass</t>
        </is>
      </c>
      <c r="G51" s="15" t="inlineStr"/>
    </row>
    <row r="52">
      <c r="A52" s="15" t="inlineStr">
        <is>
          <t>T08</t>
        </is>
      </c>
      <c r="B52" s="15" t="inlineStr">
        <is>
          <t>Themes (dark mode &amp; random palettes)</t>
        </is>
      </c>
      <c r="C52" s="15" t="inlineStr">
        <is>
          <t>Theme on shared tape</t>
        </is>
      </c>
      <c r="D52" s="15" t="inlineStr">
        <is>
          <t>Share page → ☾ or 🎲</t>
        </is>
      </c>
      <c r="E52" s="15" t="inlineStr">
        <is>
          <t>Page, panels, tracklist and player switch theme; cassette art (cover, tape, inside) stays as designed</t>
        </is>
      </c>
      <c r="F52" s="16" t="inlineStr">
        <is>
          <t>Pass</t>
        </is>
      </c>
      <c r="G52" s="15" t="inlineStr"/>
    </row>
    <row r="53">
      <c r="A53" s="15" t="inlineStr">
        <is>
          <t>T09</t>
        </is>
      </c>
      <c r="B53" s="15" t="inlineStr">
        <is>
          <t>Themes (dark mode &amp; random palettes)</t>
        </is>
      </c>
      <c r="C53" s="15" t="inlineStr">
        <is>
          <t>Original look</t>
        </is>
      </c>
      <c r="D53" s="15" t="inlineStr">
        <is>
          <t>After switching on a share page, click ↺</t>
        </is>
      </c>
      <c r="E53" s="15" t="inlineStr">
        <is>
          <t>Creator's backdrop returns; choice remembered across reloads</t>
        </is>
      </c>
      <c r="F53" s="16" t="inlineStr">
        <is>
          <t>Pass</t>
        </is>
      </c>
      <c r="G53" s="15" t="inlineStr"/>
    </row>
    <row r="54">
      <c r="A54" s="15" t="inlineStr">
        <is>
          <t>T10</t>
        </is>
      </c>
      <c r="B54" s="15" t="inlineStr">
        <is>
          <t>Themes (dark mode &amp; random palettes)</t>
        </is>
      </c>
      <c r="C54" s="15" t="inlineStr">
        <is>
          <t>Player in dark themes</t>
        </is>
      </c>
      <c r="D54" s="15" t="inlineStr">
        <is>
          <t>Share page in a dark theme</t>
        </is>
      </c>
      <c r="E54" s="15" t="inlineStr">
        <is>
          <t>Charcoal player with amber screen; all labels readable</t>
        </is>
      </c>
      <c r="F54" s="16" t="inlineStr">
        <is>
          <t>Fixed &amp; Pass</t>
        </is>
      </c>
      <c r="G54" s="15" t="inlineStr"/>
    </row>
    <row r="55">
      <c r="A55" s="15" t="inlineStr">
        <is>
          <t>T11</t>
        </is>
      </c>
      <c r="B55" s="15" t="inlineStr">
        <is>
          <t>Themes (dark mode &amp; random palettes)</t>
        </is>
      </c>
      <c r="C55" s="15" t="inlineStr">
        <is>
          <t>Button contrast</t>
        </is>
      </c>
      <c r="D55" s="15" t="inlineStr">
        <is>
          <t>Primary (orange) buttons in every theme</t>
        </is>
      </c>
      <c r="E55" s="15" t="inlineStr">
        <is>
          <t>Text readable on the accent colour</t>
        </is>
      </c>
      <c r="F55" s="16" t="inlineStr">
        <is>
          <t>Fixed &amp; Pass</t>
        </is>
      </c>
      <c r="G55" s="15" t="inlineStr"/>
    </row>
    <row r="56">
      <c r="A56" s="15" t="inlineStr">
        <is>
          <t>V01</t>
        </is>
      </c>
      <c r="B56" s="15" t="inlineStr">
        <is>
          <t>Vibe engine checks (API level)</t>
        </is>
      </c>
      <c r="C56" s="15" t="inlineStr">
        <is>
          <t>Same artist, different genres: Taylor Swift *Shake It Off* / *Love Story* / *cardigan*</t>
        </is>
      </c>
      <c r="D56" s="15" t="inlineStr">
        <is>
          <t>API: POST /api/vibe</t>
        </is>
      </c>
      <c r="E56" s="15" t="inlineStr">
        <is>
          <t>Three different moods (Pop / Country / Alternative)</t>
        </is>
      </c>
      <c r="F56" s="16" t="inlineStr">
        <is>
          <t>Pass</t>
        </is>
      </c>
      <c r="G56" s="15" t="inlineStr"/>
    </row>
    <row r="57">
      <c r="A57" s="15" t="inlineStr">
        <is>
          <t>V02</t>
        </is>
      </c>
      <c r="B57" s="15" t="inlineStr">
        <is>
          <t>Vibe engine checks (API level)</t>
        </is>
      </c>
      <c r="C57" s="15" t="inlineStr">
        <is>
          <t>Whole playlist (100 songs)</t>
        </is>
      </c>
      <c r="D57" s="15" t="inlineStr">
        <is>
          <t>API: POST /api/vibe</t>
        </is>
      </c>
      <c r="E57" s="15" t="inlineStr">
        <is>
          <t>10 songs sampled across the playlist; mood is their blend</t>
        </is>
      </c>
      <c r="F57" s="16" t="inlineStr">
        <is>
          <t>Pass</t>
        </is>
      </c>
      <c r="G57" s="15" t="inlineStr"/>
    </row>
    <row r="58">
      <c r="A58" s="15" t="inlineStr">
        <is>
          <t>V03</t>
        </is>
      </c>
      <c r="B58" s="15" t="inlineStr">
        <is>
          <t>Vibe engine checks (API level)</t>
        </is>
      </c>
      <c r="C58" s="15" t="inlineStr">
        <is>
          <t>Lo-fi filed as "Hip-Hop/Rap" by the store (Lofi Girl)</t>
        </is>
      </c>
      <c r="D58" s="15" t="inlineStr">
        <is>
          <t>API: POST /api/vibe</t>
        </is>
      </c>
      <c r="E58" s="15" t="inlineStr">
        <is>
          <t>Read as lo-fi (mellow), not hip-hop</t>
        </is>
      </c>
      <c r="F58" s="16" t="inlineStr">
        <is>
          <t>Fixed &amp; Pass</t>
        </is>
      </c>
      <c r="G58" s="15" t="inlineStr"/>
    </row>
    <row r="59">
      <c r="A59" s="15" t="inlineStr">
        <is>
          <t>V04</t>
        </is>
      </c>
      <c r="B59" s="15" t="inlineStr">
        <is>
          <t>Vibe engine checks (API level)</t>
        </is>
      </c>
      <c r="C59" s="15" t="inlineStr">
        <is>
          <t>Old song, re-release date (ABBA)</t>
        </is>
      </c>
      <c r="D59" s="15" t="inlineStr">
        <is>
          <t>API: POST /api/vibe</t>
        </is>
      </c>
      <c r="E59" s="15" t="inlineStr">
        <is>
          <t>Real era ("'70s"), vintage mood</t>
        </is>
      </c>
      <c r="F59" s="16" t="inlineStr">
        <is>
          <t>Fixed &amp; Pass</t>
        </is>
      </c>
      <c r="G59" s="15" t="inlineStr"/>
    </row>
    <row r="60">
      <c r="A60" s="15" t="inlineStr">
        <is>
          <t>V05</t>
        </is>
      </c>
      <c r="B60" s="15" t="inlineStr">
        <is>
          <t>Vibe engine checks (API level)</t>
        </is>
      </c>
      <c r="C60" s="15" t="inlineStr">
        <is>
          <t>Artist not on any list (Central Cee, Bad Bunny, Slipknot, The Marías)</t>
        </is>
      </c>
      <c r="D60" s="15" t="inlineStr">
        <is>
          <t>API: POST /api/vibe</t>
        </is>
      </c>
      <c r="E60" s="15" t="inlineStr">
        <is>
          <t>Mood from genre, tags and artwork</t>
        </is>
      </c>
      <c r="F60" s="16" t="inlineStr">
        <is>
          <t>Pass</t>
        </is>
      </c>
      <c r="G60" s="15" t="inlineStr"/>
    </row>
  </sheetData>
  <conditionalFormatting sqref="F2:F60">
    <cfRule type="cellIs" priority="1" operator="equal" dxfId="0">
      <formula>"Pass"</formula>
    </cfRule>
    <cfRule type="cellIs" priority="2" operator="equal" dxfId="1">
      <formula>"Fixed &amp; Pass"</formula>
    </cfRule>
    <cfRule type="cellIs" priority="3" operator="equal" dxfId="2">
      <formula>"Fail"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20" customWidth="1" min="4" max="4"/>
    <col width="30" customWidth="1" min="5" max="5"/>
  </cols>
  <sheetData>
    <row r="1" ht="22" customHeight="1">
      <c r="A1" s="14" t="inlineStr">
        <is>
          <t>ID</t>
        </is>
      </c>
      <c r="B1" s="14" t="inlineStr">
        <is>
          <t>View</t>
        </is>
      </c>
      <c r="C1" s="14" t="inlineStr">
        <is>
          <t>Status</t>
        </is>
      </c>
      <c r="D1" s="14" t="inlineStr">
        <is>
          <t>Viewports</t>
        </is>
      </c>
      <c r="E1" s="14" t="inlineStr">
        <is>
          <t>Notes</t>
        </is>
      </c>
    </row>
    <row r="2">
      <c r="A2" s="15" t="inlineStr">
        <is>
          <t>R01</t>
        </is>
      </c>
      <c r="B2" s="15" t="inlineStr">
        <is>
          <t>Home (top)</t>
        </is>
      </c>
      <c r="C2" s="16" t="inlineStr">
        <is>
          <t>Fixed &amp; Pass</t>
        </is>
      </c>
      <c r="D2" s="15" t="inlineStr">
        <is>
          <t>All 12 viewports</t>
        </is>
      </c>
      <c r="E2" s="15" t="inlineStr"/>
    </row>
    <row r="3">
      <c r="A3" s="15" t="inlineStr">
        <is>
          <t>R02</t>
        </is>
      </c>
      <c r="B3" s="15" t="inlineStr">
        <is>
          <t>Home (bottom, "Your tapes")</t>
        </is>
      </c>
      <c r="C3" s="16" t="inlineStr">
        <is>
          <t>Fixed &amp; Pass</t>
        </is>
      </c>
      <c r="D3" s="15" t="inlineStr">
        <is>
          <t>All 12 viewports</t>
        </is>
      </c>
      <c r="E3" s="15" t="inlineStr"/>
    </row>
    <row r="4">
      <c r="A4" s="15" t="inlineStr">
        <is>
          <t>R03</t>
        </is>
      </c>
      <c r="B4" s="15" t="inlineStr">
        <is>
          <t>Create start (search box)</t>
        </is>
      </c>
      <c r="C4" s="16" t="inlineStr">
        <is>
          <t>Pass</t>
        </is>
      </c>
      <c r="D4" s="15" t="inlineStr">
        <is>
          <t>All 12 viewports</t>
        </is>
      </c>
      <c r="E4" s="15" t="inlineStr"/>
    </row>
    <row r="5">
      <c r="A5" s="15" t="inlineStr">
        <is>
          <t>R04</t>
        </is>
      </c>
      <c r="B5" s="15" t="inlineStr">
        <is>
          <t>Editor: Tape panel</t>
        </is>
      </c>
      <c r="C5" s="16" t="inlineStr">
        <is>
          <t>Fixed &amp; Pass</t>
        </is>
      </c>
      <c r="D5" s="15" t="inlineStr">
        <is>
          <t>All 12 viewports</t>
        </is>
      </c>
      <c r="E5" s="15" t="inlineStr"/>
    </row>
    <row r="6">
      <c r="A6" s="15" t="inlineStr">
        <is>
          <t>R05</t>
        </is>
      </c>
      <c r="B6" s="15" t="inlineStr">
        <is>
          <t>Editor: Songs panel</t>
        </is>
      </c>
      <c r="C6" s="16" t="inlineStr">
        <is>
          <t>Fixed &amp; Pass</t>
        </is>
      </c>
      <c r="D6" s="15" t="inlineStr">
        <is>
          <t>All 12 viewports</t>
        </is>
      </c>
      <c r="E6" s="15" t="inlineStr"/>
    </row>
    <row r="7">
      <c r="A7" s="15" t="inlineStr">
        <is>
          <t>R06</t>
        </is>
      </c>
      <c r="B7" s="15" t="inlineStr">
        <is>
          <t>Editor: Cover panel</t>
        </is>
      </c>
      <c r="C7" s="16" t="inlineStr">
        <is>
          <t>Fixed &amp; Pass</t>
        </is>
      </c>
      <c r="D7" s="15" t="inlineStr">
        <is>
          <t>All 12 viewports</t>
        </is>
      </c>
      <c r="E7" s="15" t="inlineStr"/>
    </row>
    <row r="8">
      <c r="A8" s="15" t="inlineStr">
        <is>
          <t>R07</t>
        </is>
      </c>
      <c r="B8" s="15" t="inlineStr">
        <is>
          <t>Editor: Inside panel</t>
        </is>
      </c>
      <c r="C8" s="16" t="inlineStr">
        <is>
          <t>Fixed &amp; Pass</t>
        </is>
      </c>
      <c r="D8" s="15" t="inlineStr">
        <is>
          <t>All 12 viewports</t>
        </is>
      </c>
      <c r="E8" s="15" t="inlineStr"/>
    </row>
    <row r="9">
      <c r="A9" s="15" t="inlineStr">
        <is>
          <t>R08</t>
        </is>
      </c>
      <c r="B9" s="15" t="inlineStr">
        <is>
          <t>Editor: Stickers panel</t>
        </is>
      </c>
      <c r="C9" s="16" t="inlineStr">
        <is>
          <t>Fixed &amp; Pass</t>
        </is>
      </c>
      <c r="D9" s="15" t="inlineStr">
        <is>
          <t>All 12 viewports</t>
        </is>
      </c>
      <c r="E9" s="15" t="inlineStr"/>
    </row>
    <row r="10">
      <c r="A10" s="15" t="inlineStr">
        <is>
          <t>R09</t>
        </is>
      </c>
      <c r="B10" s="15" t="inlineStr">
        <is>
          <t>Editor: Share panel</t>
        </is>
      </c>
      <c r="C10" s="16" t="inlineStr">
        <is>
          <t>Fixed &amp; Pass</t>
        </is>
      </c>
      <c r="D10" s="15" t="inlineStr">
        <is>
          <t>All 12 viewports</t>
        </is>
      </c>
      <c r="E10" s="15" t="inlineStr"/>
    </row>
    <row r="11">
      <c r="A11" s="15" t="inlineStr">
        <is>
          <t>R10</t>
        </is>
      </c>
      <c r="B11" s="15" t="inlineStr">
        <is>
          <t>Editor: vibe menu open</t>
        </is>
      </c>
      <c r="C11" s="16" t="inlineStr">
        <is>
          <t>Fixed &amp; Pass</t>
        </is>
      </c>
      <c r="D11" s="15" t="inlineStr">
        <is>
          <t>All 12 viewports</t>
        </is>
      </c>
      <c r="E11" s="15" t="inlineStr"/>
    </row>
    <row r="12">
      <c r="A12" s="15" t="inlineStr">
        <is>
          <t>R11</t>
        </is>
      </c>
      <c r="B12" s="15" t="inlineStr">
        <is>
          <t>Editor: sticker selected (toolbar)</t>
        </is>
      </c>
      <c r="C12" s="16" t="inlineStr">
        <is>
          <t>Fixed &amp; Pass</t>
        </is>
      </c>
      <c r="D12" s="15" t="inlineStr">
        <is>
          <t>All 12 viewports</t>
        </is>
      </c>
      <c r="E12" s="15" t="inlineStr"/>
    </row>
    <row r="13">
      <c r="A13" s="15" t="inlineStr">
        <is>
          <t>R12</t>
        </is>
      </c>
      <c r="B13" s="15" t="inlineStr">
        <is>
          <t>Editor: case inside</t>
        </is>
      </c>
      <c r="C13" s="16" t="inlineStr">
        <is>
          <t>Fixed &amp; Pass</t>
        </is>
      </c>
      <c r="D13" s="15" t="inlineStr">
        <is>
          <t>All 12 viewports</t>
        </is>
      </c>
      <c r="E13" s="15" t="inlineStr"/>
    </row>
    <row r="14">
      <c r="A14" s="15" t="inlineStr">
        <is>
          <t>R13</t>
        </is>
      </c>
      <c r="B14" s="15" t="inlineStr">
        <is>
          <t>Share page, dark backdrop</t>
        </is>
      </c>
      <c r="C14" s="16" t="inlineStr">
        <is>
          <t>Pass</t>
        </is>
      </c>
      <c r="D14" s="15" t="inlineStr">
        <is>
          <t>All 12 viewports</t>
        </is>
      </c>
      <c r="E14" s="15" t="inlineStr"/>
    </row>
    <row r="15">
      <c r="A15" s="15" t="inlineStr">
        <is>
          <t>R14</t>
        </is>
      </c>
      <c r="B15" s="15" t="inlineStr">
        <is>
          <t>Share page: case open</t>
        </is>
      </c>
      <c r="C15" s="16" t="inlineStr">
        <is>
          <t>Pass</t>
        </is>
      </c>
      <c r="D15" s="15" t="inlineStr">
        <is>
          <t>All 12 viewports</t>
        </is>
      </c>
      <c r="E15" s="15" t="inlineStr"/>
    </row>
    <row r="16">
      <c r="A16" s="15" t="inlineStr">
        <is>
          <t>R15</t>
        </is>
      </c>
      <c r="B16" s="15" t="inlineStr">
        <is>
          <t>Share page: player</t>
        </is>
      </c>
      <c r="C16" s="16" t="inlineStr">
        <is>
          <t>Pass</t>
        </is>
      </c>
      <c r="D16" s="15" t="inlineStr">
        <is>
          <t>All 12 viewports</t>
        </is>
      </c>
      <c r="E16" s="15" t="inlineStr"/>
    </row>
    <row r="17">
      <c r="A17" s="15" t="inlineStr">
        <is>
          <t>R16</t>
        </is>
      </c>
      <c r="B17" s="15" t="inlineStr">
        <is>
          <t>Share page: video shown</t>
        </is>
      </c>
      <c r="C17" s="16" t="inlineStr">
        <is>
          <t>Pass</t>
        </is>
      </c>
      <c r="D17" s="15" t="inlineStr">
        <is>
          <t>All 12 viewports</t>
        </is>
      </c>
      <c r="E17" s="15" t="inlineStr"/>
    </row>
    <row r="18">
      <c r="A18" s="15" t="inlineStr">
        <is>
          <t>R17</t>
        </is>
      </c>
      <c r="B18" s="15" t="inlineStr">
        <is>
          <t>Share page: tracklist</t>
        </is>
      </c>
      <c r="C18" s="16" t="inlineStr">
        <is>
          <t>Pass</t>
        </is>
      </c>
      <c r="D18" s="15" t="inlineStr">
        <is>
          <t>All 12 viewports</t>
        </is>
      </c>
      <c r="E18" s="15" t="inlineStr"/>
    </row>
    <row r="19">
      <c r="A19" s="15" t="inlineStr">
        <is>
          <t>R18</t>
        </is>
      </c>
      <c r="B19" s="15" t="inlineStr">
        <is>
          <t>Share page, light backdrop</t>
        </is>
      </c>
      <c r="C19" s="16" t="inlineStr">
        <is>
          <t>Pass</t>
        </is>
      </c>
      <c r="D19" s="15" t="inlineStr">
        <is>
          <t>All 12 viewports</t>
        </is>
      </c>
      <c r="E19" s="15" t="inlineStr"/>
    </row>
    <row r="20">
      <c r="A20" s="15" t="inlineStr">
        <is>
          <t>R19</t>
        </is>
      </c>
      <c r="B20" s="15" t="inlineStr">
        <is>
          <t>Invalid edit link</t>
        </is>
      </c>
      <c r="C20" s="16" t="inlineStr">
        <is>
          <t>Pass</t>
        </is>
      </c>
      <c r="D20" s="15" t="inlineStr">
        <is>
          <t>All 12 viewports</t>
        </is>
      </c>
      <c r="E20" s="15" t="inlineStr"/>
    </row>
    <row r="21">
      <c r="A21" s="15" t="inlineStr">
        <is>
          <t>R20</t>
        </is>
      </c>
      <c r="B21" s="15" t="inlineStr">
        <is>
          <t>404 page</t>
        </is>
      </c>
      <c r="C21" s="16" t="inlineStr">
        <is>
          <t>Pass</t>
        </is>
      </c>
      <c r="D21" s="15" t="inlineStr">
        <is>
          <t>All 12 viewports</t>
        </is>
      </c>
      <c r="E21" s="15" t="inlineStr"/>
    </row>
    <row r="22">
      <c r="A22" s="15" t="inlineStr">
        <is>
          <t>R21</t>
        </is>
      </c>
      <c r="B22" s="15" t="inlineStr">
        <is>
          <t>Home in theme</t>
        </is>
      </c>
      <c r="C22" s="16" t="inlineStr">
        <is>
          <t>Pass</t>
        </is>
      </c>
      <c r="D22" s="15" t="inlineStr">
        <is>
          <t>360 · 768 · 1280 × 3 themes</t>
        </is>
      </c>
      <c r="E22" s="15" t="inlineStr"/>
    </row>
    <row r="23">
      <c r="A23" s="15" t="inlineStr">
        <is>
          <t>R22</t>
        </is>
      </c>
      <c r="B23" s="15" t="inlineStr">
        <is>
          <t>Create start in theme</t>
        </is>
      </c>
      <c r="C23" s="16" t="inlineStr">
        <is>
          <t>Pass</t>
        </is>
      </c>
      <c r="D23" s="15" t="inlineStr">
        <is>
          <t>360 · 768 · 1280 × 3 themes</t>
        </is>
      </c>
      <c r="E23" s="15" t="inlineStr"/>
    </row>
    <row r="24">
      <c r="A24" s="15" t="inlineStr">
        <is>
          <t>R23</t>
        </is>
      </c>
      <c r="B24" s="15" t="inlineStr">
        <is>
          <t>Editor in theme</t>
        </is>
      </c>
      <c r="C24" s="16" t="inlineStr">
        <is>
          <t>Pass</t>
        </is>
      </c>
      <c r="D24" s="15" t="inlineStr">
        <is>
          <t>360 · 768 · 1280 × 3 themes</t>
        </is>
      </c>
      <c r="E24" s="15" t="inlineStr"/>
    </row>
    <row r="25">
      <c r="A25" s="15" t="inlineStr">
        <is>
          <t>R24</t>
        </is>
      </c>
      <c r="B25" s="15" t="inlineStr">
        <is>
          <t>Shared tape (keeps the creator's look)</t>
        </is>
      </c>
      <c r="C25" s="16" t="inlineStr">
        <is>
          <t>Pass</t>
        </is>
      </c>
      <c r="D25" s="15" t="inlineStr">
        <is>
          <t>360 · 768 · 1280 × 3 themes</t>
        </is>
      </c>
      <c r="E25" s="15" t="inlineStr"/>
    </row>
  </sheetData>
  <conditionalFormatting sqref="C2:C25">
    <cfRule type="cellIs" priority="1" operator="equal" dxfId="0">
      <formula>"Pass"</formula>
    </cfRule>
    <cfRule type="cellIs" priority="2" operator="equal" dxfId="1">
      <formula>"Fixed &amp; Pass"</formula>
    </cfRule>
    <cfRule type="cellIs" priority="3" operator="equal" dxfId="2">
      <formula>"Fail"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</cols>
  <sheetData>
    <row r="1" ht="22" customHeight="1">
      <c r="A1" s="14" t="inlineStr">
        <is>
          <t>Device class</t>
        </is>
      </c>
      <c r="B1" s="14" t="inlineStr">
        <is>
          <t>Viewport</t>
        </is>
      </c>
      <c r="C1" s="14" t="inlineStr">
        <is>
          <t>Touch</t>
        </is>
      </c>
    </row>
    <row r="2">
      <c r="A2" s="15" t="inlineStr">
        <is>
          <t>iPhone SE (1st gen)</t>
        </is>
      </c>
      <c r="B2" s="15" t="inlineStr">
        <is>
          <t>320 × 568</t>
        </is>
      </c>
      <c r="C2" s="15" t="inlineStr">
        <is>
          <t>Yes</t>
        </is>
      </c>
    </row>
    <row r="3">
      <c r="A3" s="15" t="inlineStr">
        <is>
          <t>Galaxy S</t>
        </is>
      </c>
      <c r="B3" s="15" t="inlineStr">
        <is>
          <t>360 × 740</t>
        </is>
      </c>
      <c r="C3" s="15" t="inlineStr">
        <is>
          <t>Yes</t>
        </is>
      </c>
    </row>
    <row r="4">
      <c r="A4" s="15" t="inlineStr">
        <is>
          <t>iPhone 8</t>
        </is>
      </c>
      <c r="B4" s="15" t="inlineStr">
        <is>
          <t>375 × 667</t>
        </is>
      </c>
      <c r="C4" s="15" t="inlineStr">
        <is>
          <t>Yes</t>
        </is>
      </c>
    </row>
    <row r="5">
      <c r="A5" s="15" t="inlineStr">
        <is>
          <t>iPhone 14</t>
        </is>
      </c>
      <c r="B5" s="15" t="inlineStr">
        <is>
          <t>390 × 844</t>
        </is>
      </c>
      <c r="C5" s="15" t="inlineStr">
        <is>
          <t>Yes</t>
        </is>
      </c>
    </row>
    <row r="6">
      <c r="A6" s="15" t="inlineStr">
        <is>
          <t>Pixel 7</t>
        </is>
      </c>
      <c r="B6" s="15" t="inlineStr">
        <is>
          <t>412 × 915</t>
        </is>
      </c>
      <c r="C6" s="15" t="inlineStr">
        <is>
          <t>Yes</t>
        </is>
      </c>
    </row>
    <row r="7">
      <c r="A7" s="15" t="inlineStr">
        <is>
          <t>iPhone Pro Max</t>
        </is>
      </c>
      <c r="B7" s="15" t="inlineStr">
        <is>
          <t>430 × 932</t>
        </is>
      </c>
      <c r="C7" s="15" t="inlineStr">
        <is>
          <t>Yes</t>
        </is>
      </c>
    </row>
    <row r="8">
      <c r="A8" s="15" t="inlineStr">
        <is>
          <t>iPad mini</t>
        </is>
      </c>
      <c r="B8" s="15" t="inlineStr">
        <is>
          <t>768 × 1024</t>
        </is>
      </c>
      <c r="C8" s="15" t="inlineStr">
        <is>
          <t>Yes</t>
        </is>
      </c>
    </row>
    <row r="9">
      <c r="A9" s="15" t="inlineStr">
        <is>
          <t>iPad Air</t>
        </is>
      </c>
      <c r="B9" s="15" t="inlineStr">
        <is>
          <t>820 × 1180</t>
        </is>
      </c>
      <c r="C9" s="15" t="inlineStr">
        <is>
          <t>Yes</t>
        </is>
      </c>
    </row>
    <row r="10">
      <c r="A10" s="15" t="inlineStr">
        <is>
          <t>Tablet landscape</t>
        </is>
      </c>
      <c r="B10" s="15" t="inlineStr">
        <is>
          <t>1024 × 768</t>
        </is>
      </c>
      <c r="C10" s="15" t="inlineStr">
        <is>
          <t>Yes</t>
        </is>
      </c>
    </row>
    <row r="11">
      <c r="A11" s="15" t="inlineStr">
        <is>
          <t>Laptop</t>
        </is>
      </c>
      <c r="B11" s="15" t="inlineStr">
        <is>
          <t>1280 × 800</t>
        </is>
      </c>
      <c r="C11" s="15" t="inlineStr">
        <is>
          <t>No</t>
        </is>
      </c>
    </row>
    <row r="12">
      <c r="A12" s="15" t="inlineStr">
        <is>
          <t>Laptop L</t>
        </is>
      </c>
      <c r="B12" s="15" t="inlineStr">
        <is>
          <t>1440 × 900</t>
        </is>
      </c>
      <c r="C12" s="15" t="inlineStr">
        <is>
          <t>No</t>
        </is>
      </c>
    </row>
    <row r="13">
      <c r="A13" s="15" t="inlineStr">
        <is>
          <t>Desktop</t>
        </is>
      </c>
      <c r="B13" s="15" t="inlineStr">
        <is>
          <t>1920 × 1080</t>
        </is>
      </c>
      <c r="C13" s="15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60" customWidth="1" min="4" max="4"/>
  </cols>
  <sheetData>
    <row r="1" ht="22" customHeight="1">
      <c r="A1" s="14" t="inlineStr">
        <is>
          <t>#</t>
        </is>
      </c>
      <c r="B1" s="14" t="inlineStr">
        <is>
          <t>Found</t>
        </is>
      </c>
      <c r="C1" s="14" t="inlineStr">
        <is>
          <t>Where</t>
        </is>
      </c>
      <c r="D1" s="14" t="inlineStr">
        <is>
          <t>Fix</t>
        </is>
      </c>
    </row>
    <row r="2">
      <c r="A2" s="15" t="inlineStr">
        <is>
          <t>1</t>
        </is>
      </c>
      <c r="B2" s="15" t="inlineStr">
        <is>
          <t>Tilted demo cassette/case stuck out past the left edge; 2–3 px horizontal scroll on 430 px and 1024 px</t>
        </is>
      </c>
      <c r="C2" s="15" t="inlineStr">
        <is>
          <t>Home, all phones + tablet landscape</t>
        </is>
      </c>
      <c r="D2" s="15" t="inlineStr">
        <is>
          <t>Repositioned the illustration on small screens; page clips stray overflow</t>
        </is>
      </c>
    </row>
    <row r="3">
      <c r="A3" s="15" t="inlineStr">
        <is>
          <t>2</t>
        </is>
      </c>
      <c r="B3" s="15" t="inlineStr">
        <is>
          <t>Touch targets below 24 px: "skip, decorate first" (20 px tall), "Delete this mixtape" (20 px), "↗ open on YouTube" (9×16 px)</t>
        </is>
      </c>
      <c r="C3" s="15" t="inlineStr">
        <is>
          <t>Create, Share panel, share tracklist</t>
        </is>
      </c>
      <c r="D3" s="15" t="inlineStr">
        <is>
          <t>Larger tap areas (32 px)</t>
        </is>
      </c>
    </row>
    <row r="4">
      <c r="A4" s="15" t="inlineStr">
        <is>
          <t>3</t>
        </is>
      </c>
      <c r="B4" s="15" t="inlineStr">
        <is>
          <t>View tabs wrapped onto 2 rows, so the pinned preview used ~60% of a small phone screen</t>
        </is>
      </c>
      <c r="C4" s="15" t="inlineStr">
        <is>
          <t>Editor, ≤ 640 px</t>
        </is>
      </c>
      <c r="D4" s="15" t="inlineStr">
        <is>
          <t>One row: short labels (Side A / Side B / Cover / Inside) and an icon-only ↻ Flip button on phones</t>
        </is>
      </c>
    </row>
    <row r="5">
      <c r="A5" s="15" t="inlineStr">
        <is>
          <t>4</t>
        </is>
      </c>
      <c r="B5" s="15" t="inlineStr">
        <is>
          <t>Player title cut to "Die With A Sm…" on 320 px</t>
        </is>
      </c>
      <c r="C5" s="15" t="inlineStr">
        <is>
          <t>Share page player</t>
        </is>
      </c>
      <c r="D5" s="15" t="inlineStr">
        <is>
          <t>Title scrolls (marquee) whenever it doesn't fit, measured on the actual screen</t>
        </is>
      </c>
    </row>
    <row r="6">
      <c r="A6" s="15" t="inlineStr">
        <is>
          <t>5</t>
        </is>
      </c>
      <c r="B6" s="15" t="inlineStr">
        <is>
          <t>Search placeholder cut off ("…paste a Yo") on 320 px</t>
        </is>
      </c>
      <c r="C6" s="15" t="inlineStr">
        <is>
          <t>Create / Songs</t>
        </is>
      </c>
      <c r="D6" s="15" t="inlineStr">
        <is>
          <t>Shorter placeholder "Song name or YouTube link"</t>
        </is>
      </c>
    </row>
    <row r="7">
      <c r="A7" s="15" t="inlineStr">
        <is>
          <t>6</t>
        </is>
      </c>
      <c r="B7" s="15" t="inlineStr">
        <is>
          <t>Pamphlet PDF printed in the phone layout over 2 pages</t>
        </is>
      </c>
      <c r="C7" s="15" t="inlineStr">
        <is>
          <t>docs/pamphlet.html</t>
        </is>
      </c>
      <c r="D7" s="15" t="inlineStr">
        <is>
          <t>Mobile breakpoint limited to screens; fits one A4 page</t>
        </is>
      </c>
    </row>
    <row r="8">
      <c r="A8" s="15" t="inlineStr">
        <is>
          <t>7</t>
        </is>
      </c>
      <c r="B8" s="15" t="inlineStr">
        <is>
          <t>Full tape reel overlapped the centre window of the cassette; empty reel looked bare and uneven</t>
        </is>
      </c>
      <c r="C8" s="15" t="inlineStr">
        <is>
          <t>Tape art, every size</t>
        </is>
      </c>
      <c r="D8" s="15" t="inlineStr">
        <is>
          <t>Max reel size reduced so it stops short of the window; empty reel always shows a ring of tape; narrower centre window</t>
        </is>
      </c>
    </row>
    <row r="9">
      <c r="A9" s="15" t="inlineStr">
        <is>
          <t>8</t>
        </is>
      </c>
      <c r="B9" s="15" t="inlineStr">
        <is>
          <t>"Remove from your tapes" ✕ was 13 × 24 px</t>
        </is>
      </c>
      <c r="C9" s="15" t="inlineStr">
        <is>
          <t>Home, phones/tablets</t>
        </is>
      </c>
      <c r="D9" s="15" t="inlineStr">
        <is>
          <t>32 × 32 px tap area</t>
        </is>
      </c>
    </row>
    <row r="10">
      <c r="A10" s="15" t="inlineStr">
        <is>
          <t>9</t>
        </is>
      </c>
      <c r="B10" s="15" t="inlineStr">
        <is>
          <t>In dark themes the player's screen frame turned cream and its label vanished</t>
        </is>
      </c>
      <c r="C10" s="15" t="inlineStr">
        <is>
          <t>Share page player</t>
        </is>
      </c>
      <c r="D10" s="15" t="inlineStr">
        <is>
          <t>Player keeps its own fixed palette in every theme</t>
        </is>
      </c>
    </row>
    <row r="11">
      <c r="A11" s="15" t="inlineStr">
        <is>
          <t>10</t>
        </is>
      </c>
      <c r="B11" s="15" t="inlineStr">
        <is>
          <t>First tap on ☾ on a shared tape switched to light when the device itself was in dark mode</t>
        </is>
      </c>
      <c r="C11" s="15" t="inlineStr">
        <is>
          <t>Share page</t>
        </is>
      </c>
      <c r="D11" s="15" t="inlineStr">
        <is>
          <t>Toggle follows what the page actually looks like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2" customWidth="1" min="3" max="3"/>
    <col width="52" customWidth="1" min="4" max="4"/>
    <col width="14" customWidth="1" min="5" max="5"/>
    <col width="40" customWidth="1" min="6" max="6"/>
  </cols>
  <sheetData>
    <row r="1" ht="22" customHeight="1">
      <c r="A1" s="14" t="inlineStr">
        <is>
          <t>ID</t>
        </is>
      </c>
      <c r="B1" s="14" t="inlineStr">
        <is>
          <t>Category</t>
        </is>
      </c>
      <c r="C1" s="14" t="inlineStr">
        <is>
          <t>Attack / check</t>
        </is>
      </c>
      <c r="D1" s="14" t="inlineStr">
        <is>
          <t>Expected</t>
        </is>
      </c>
      <c r="E1" s="14" t="inlineStr">
        <is>
          <t>Status</t>
        </is>
      </c>
      <c r="F1" s="14" t="inlineStr">
        <is>
          <t>Notes</t>
        </is>
      </c>
    </row>
    <row r="2">
      <c r="A2" s="15" t="inlineStr">
        <is>
          <t>SEC01</t>
        </is>
      </c>
      <c r="B2" s="15" t="inlineStr">
        <is>
          <t>Injection &amp; input validation</t>
        </is>
      </c>
      <c r="C2" s="15" t="inlineStr">
        <is>
          <t>Stored XSS: "&gt;&lt;script&gt;alert(1)&lt;/script&gt;&lt;img src=x onerror=…&gt; in title, from, message, song title and a text sticker</t>
        </is>
      </c>
      <c r="D2" s="15" t="inlineStr">
        <is>
          <t>Saved as text; share page HTML contains no executable &lt;script&gt; / onerror</t>
        </is>
      </c>
      <c r="E2" s="16" t="inlineStr">
        <is>
          <t>Pass</t>
        </is>
      </c>
      <c r="F2" s="15" t="inlineStr"/>
    </row>
    <row r="3">
      <c r="A3" s="15" t="inlineStr">
        <is>
          <t>SEC02</t>
        </is>
      </c>
      <c r="B3" s="15" t="inlineStr">
        <is>
          <t>Injection &amp; input validation</t>
        </is>
      </c>
      <c r="C3" s="15" t="inlineStr">
        <is>
          <t>Cover photo javascript:alert(1)</t>
        </is>
      </c>
      <c r="D3" s="15" t="inlineStr">
        <is>
          <t>400 "Invalid image"</t>
        </is>
      </c>
      <c r="E3" s="16" t="inlineStr">
        <is>
          <t>Pass</t>
        </is>
      </c>
      <c r="F3" s="15" t="inlineStr"/>
    </row>
    <row r="4">
      <c r="A4" s="15" t="inlineStr">
        <is>
          <t>SEC03</t>
        </is>
      </c>
      <c r="B4" s="15" t="inlineStr">
        <is>
          <t>Injection &amp; input validation</t>
        </is>
      </c>
      <c r="C4" s="15" t="inlineStr">
        <is>
          <t>Cover photo data:image/svg+xml (SVG can carry script)</t>
        </is>
      </c>
      <c r="D4" s="15" t="inlineStr">
        <is>
          <t>400</t>
        </is>
      </c>
      <c r="E4" s="16" t="inlineStr">
        <is>
          <t>Pass</t>
        </is>
      </c>
      <c r="F4" s="15" t="inlineStr"/>
    </row>
    <row r="5">
      <c r="A5" s="15" t="inlineStr">
        <is>
          <t>SEC04</t>
        </is>
      </c>
      <c r="B5" s="15" t="inlineStr">
        <is>
          <t>Injection &amp; input validation</t>
        </is>
      </c>
      <c r="C5" s="15" t="inlineStr">
        <is>
          <t>Cover photo data:text/html</t>
        </is>
      </c>
      <c r="D5" s="15" t="inlineStr">
        <is>
          <t>400</t>
        </is>
      </c>
      <c r="E5" s="16" t="inlineStr">
        <is>
          <t>Pass</t>
        </is>
      </c>
      <c r="F5" s="15" t="inlineStr"/>
    </row>
    <row r="6">
      <c r="A6" s="15" t="inlineStr">
        <is>
          <t>SEC05</t>
        </is>
      </c>
      <c r="B6" s="15" t="inlineStr">
        <is>
          <t>Injection &amp; input validation</t>
        </is>
      </c>
      <c r="C6" s="15" t="inlineStr">
        <is>
          <t>Malformed base64 with an injected quote</t>
        </is>
      </c>
      <c r="D6" s="15" t="inlineStr">
        <is>
          <t>400</t>
        </is>
      </c>
      <c r="E6" s="16" t="inlineStr">
        <is>
          <t>Pass</t>
        </is>
      </c>
      <c r="F6" s="15" t="inlineStr"/>
    </row>
    <row r="7">
      <c r="A7" s="15" t="inlineStr">
        <is>
          <t>SEC06</t>
        </is>
      </c>
      <c r="B7" s="15" t="inlineStr">
        <is>
          <t>Injection &amp; input validation</t>
        </is>
      </c>
      <c r="C7" s="15" t="inlineStr">
        <is>
          <t>CSS injection in a colour: red;background:url(//evil)</t>
        </is>
      </c>
      <c r="D7" s="15" t="inlineStr">
        <is>
          <t>400 "Invalid color"</t>
        </is>
      </c>
      <c r="E7" s="16" t="inlineStr">
        <is>
          <t>Pass</t>
        </is>
      </c>
      <c r="F7" s="15" t="inlineStr"/>
    </row>
    <row r="8">
      <c r="A8" s="15" t="inlineStr">
        <is>
          <t>SEC07</t>
        </is>
      </c>
      <c r="B8" s="15" t="inlineStr">
        <is>
          <t>Injection &amp; input validation</t>
        </is>
      </c>
      <c r="C8" s="15" t="inlineStr">
        <is>
          <t>CSS injection via the font field</t>
        </is>
      </c>
      <c r="D8" s="15" t="inlineStr">
        <is>
          <t>400 (enum)</t>
        </is>
      </c>
      <c r="E8" s="16" t="inlineStr">
        <is>
          <t>Pass</t>
        </is>
      </c>
      <c r="F8" s="15" t="inlineStr"/>
    </row>
    <row r="9">
      <c r="A9" s="15" t="inlineStr">
        <is>
          <t>SEC08</t>
        </is>
      </c>
      <c r="B9" s="15" t="inlineStr">
        <is>
          <t>Injection &amp; input validation</t>
        </is>
      </c>
      <c r="C9" s="15" t="inlineStr">
        <is>
          <t>Out-of-range numbers (x = 1e9)</t>
        </is>
      </c>
      <c r="D9" s="15" t="inlineStr">
        <is>
          <t>400</t>
        </is>
      </c>
      <c r="E9" s="16" t="inlineStr">
        <is>
          <t>Pass</t>
        </is>
      </c>
      <c r="F9" s="15" t="inlineStr"/>
    </row>
    <row r="10">
      <c r="A10" s="15" t="inlineStr">
        <is>
          <t>SEC09</t>
        </is>
      </c>
      <c r="B10" s="15" t="inlineStr">
        <is>
          <t>Injection &amp; input validation</t>
        </is>
      </c>
      <c r="C10" s="15" t="inlineStr">
        <is>
          <t>Sticker id ../../x</t>
        </is>
      </c>
      <c r="D10" s="15" t="inlineStr">
        <is>
          <t>400 (pattern)</t>
        </is>
      </c>
      <c r="E10" s="16" t="inlineStr">
        <is>
          <t>Pass</t>
        </is>
      </c>
      <c r="F10" s="15" t="inlineStr"/>
    </row>
    <row r="11">
      <c r="A11" s="15" t="inlineStr">
        <is>
          <t>SEC10</t>
        </is>
      </c>
      <c r="B11" s="15" t="inlineStr">
        <is>
          <t>Injection &amp; input validation</t>
        </is>
      </c>
      <c r="C11" s="15" t="inlineStr">
        <is>
          <t>Prototype pollution (__proto__, constructor.prototype) and unknown fields</t>
        </is>
      </c>
      <c r="D11" s="15" t="inlineStr">
        <is>
          <t>Unknown keys stripped; no global pollution</t>
        </is>
      </c>
      <c r="E11" s="16" t="inlineStr">
        <is>
          <t>Pass</t>
        </is>
      </c>
      <c r="F11" s="15" t="inlineStr"/>
    </row>
    <row r="12">
      <c r="A12" s="15" t="inlineStr">
        <is>
          <t>SEC11</t>
        </is>
      </c>
      <c r="B12" s="15" t="inlineStr">
        <is>
          <t>Access control &amp; data exposure</t>
        </is>
      </c>
      <c r="C12" s="15" t="inlineStr">
        <is>
          <t>PUT without an edit key</t>
        </is>
      </c>
      <c r="D12" s="15" t="inlineStr">
        <is>
          <t>403</t>
        </is>
      </c>
      <c r="E12" s="16" t="inlineStr">
        <is>
          <t>Pass</t>
        </is>
      </c>
      <c r="F12" s="15" t="inlineStr"/>
    </row>
    <row r="13">
      <c r="A13" s="15" t="inlineStr">
        <is>
          <t>SEC12</t>
        </is>
      </c>
      <c r="B13" s="15" t="inlineStr">
        <is>
          <t>Access control &amp; data exposure</t>
        </is>
      </c>
      <c r="C13" s="15" t="inlineStr">
        <is>
          <t>DELETE with a wrong key</t>
        </is>
      </c>
      <c r="D13" s="15" t="inlineStr">
        <is>
          <t>403</t>
        </is>
      </c>
      <c r="E13" s="16" t="inlineStr">
        <is>
          <t>Pass</t>
        </is>
      </c>
      <c r="F13" s="15" t="inlineStr"/>
    </row>
    <row r="14">
      <c r="A14" s="15" t="inlineStr">
        <is>
          <t>SEC13</t>
        </is>
      </c>
      <c r="B14" s="15" t="inlineStr">
        <is>
          <t>Access control &amp; data exposure</t>
        </is>
      </c>
      <c r="C14" s="15" t="inlineStr">
        <is>
          <t>Edit key or its hash in the public GET response</t>
        </is>
      </c>
      <c r="D14" s="15" t="inlineStr">
        <is>
          <t>Neither present</t>
        </is>
      </c>
      <c r="E14" s="16" t="inlineStr">
        <is>
          <t>Pass</t>
        </is>
      </c>
      <c r="F14" s="15" t="inlineStr"/>
    </row>
    <row r="15">
      <c r="A15" s="15" t="inlineStr">
        <is>
          <t>SEC14</t>
        </is>
      </c>
      <c r="B15" s="15" t="inlineStr">
        <is>
          <t>Access control &amp; data exposure</t>
        </is>
      </c>
      <c r="C15" s="15" t="inlineStr">
        <is>
          <t>Path traversal ids (..%2F..%2Fpackage, ...., 200-char id)</t>
        </is>
      </c>
      <c r="D15" s="15" t="inlineStr">
        <is>
          <t>404, no file access</t>
        </is>
      </c>
      <c r="E15" s="16" t="inlineStr">
        <is>
          <t>Pass</t>
        </is>
      </c>
      <c r="F15" s="15" t="inlineStr"/>
    </row>
    <row r="16">
      <c r="A16" s="15" t="inlineStr">
        <is>
          <t>SEC15</t>
        </is>
      </c>
      <c r="B16" s="15" t="inlineStr">
        <is>
          <t>Access control &amp; data exposure</t>
        </is>
      </c>
      <c r="C16" s="15" t="inlineStr">
        <is>
          <t>Edit key exposure</t>
        </is>
      </c>
      <c r="D16" s="15" t="inlineStr">
        <is>
          <t>Key only in the URL hash (never sent to servers or Referer); stored as SHA-256; constant-time compare</t>
        </is>
      </c>
      <c r="E16" s="16" t="inlineStr">
        <is>
          <t>Pass</t>
        </is>
      </c>
      <c r="F16" s="15" t="inlineStr">
        <is>
          <t>code review</t>
        </is>
      </c>
    </row>
    <row r="17">
      <c r="A17" s="15" t="inlineStr">
        <is>
          <t>SEC16</t>
        </is>
      </c>
      <c r="B17" s="15" t="inlineStr">
        <is>
          <t>Abuse / denial of service</t>
        </is>
      </c>
      <c r="C17" s="15" t="inlineStr">
        <is>
          <t>10 MB body with Content-Length</t>
        </is>
      </c>
      <c r="D17" s="15" t="inlineStr">
        <is>
          <t>413</t>
        </is>
      </c>
      <c r="E17" s="16" t="inlineStr">
        <is>
          <t>Pass</t>
        </is>
      </c>
      <c r="F17" s="15" t="inlineStr"/>
    </row>
    <row r="18">
      <c r="A18" s="15" t="inlineStr">
        <is>
          <t>SEC17</t>
        </is>
      </c>
      <c r="B18" s="15" t="inlineStr">
        <is>
          <t>Abuse / denial of service</t>
        </is>
      </c>
      <c r="C18" s="15" t="inlineStr">
        <is>
          <t>20 MB chunked body without Content-Length</t>
        </is>
      </c>
      <c r="D18" s="15" t="inlineStr">
        <is>
          <t>413, upload cut off at 8 MB while streaming</t>
        </is>
      </c>
      <c r="E18" s="16" t="inlineStr">
        <is>
          <t>Fixed &amp; Pass</t>
        </is>
      </c>
      <c r="F18" s="15" t="inlineStr"/>
    </row>
    <row r="19">
      <c r="A19" s="15" t="inlineStr">
        <is>
          <t>SEC18</t>
        </is>
      </c>
      <c r="B19" s="15" t="inlineStr">
        <is>
          <t>Abuse / denial of service</t>
        </is>
      </c>
      <c r="C19" s="15" t="inlineStr">
        <is>
          <t>Rate-limit bypass by forging X-Forwarded-For (25 creates, new fake IP each time)</t>
        </is>
      </c>
      <c r="D19" s="15" t="inlineStr">
        <is>
          <t>Limit still enforced</t>
        </is>
      </c>
      <c r="E19" s="16" t="inlineStr">
        <is>
          <t>Fixed &amp; Pass</t>
        </is>
      </c>
      <c r="F19" s="15" t="inlineStr">
        <is>
          <t>before: 25/25 created · after: 19 blocked</t>
        </is>
      </c>
    </row>
    <row r="20">
      <c r="A20" s="15" t="inlineStr">
        <is>
          <t>SEC19</t>
        </is>
      </c>
      <c r="B20" s="15" t="inlineStr">
        <is>
          <t>Abuse / denial of service</t>
        </is>
      </c>
      <c r="C20" s="15" t="inlineStr">
        <is>
          <t>DELETE flooding</t>
        </is>
      </c>
      <c r="D20" s="15" t="inlineStr">
        <is>
          <t>Rate limited (30 / 10 min)</t>
        </is>
      </c>
      <c r="E20" s="16" t="inlineStr">
        <is>
          <t>Fixed &amp; Pass</t>
        </is>
      </c>
      <c r="F20" s="15" t="inlineStr"/>
    </row>
    <row r="21">
      <c r="A21" s="15" t="inlineStr">
        <is>
          <t>SEC20</t>
        </is>
      </c>
      <c r="B21" s="15" t="inlineStr">
        <is>
          <t>Abuse / denial of service</t>
        </is>
      </c>
      <c r="C21" s="15" t="inlineStr">
        <is>
          <t>1000-character search query</t>
        </is>
      </c>
      <c r="D21" s="15" t="inlineStr">
        <is>
          <t>400</t>
        </is>
      </c>
      <c r="E21" s="16" t="inlineStr">
        <is>
          <t>Pass</t>
        </is>
      </c>
      <c r="F21" s="15" t="inlineStr"/>
    </row>
    <row r="22">
      <c r="A22" s="15" t="inlineStr">
        <is>
          <t>SEC21</t>
        </is>
      </c>
      <c r="B22" s="15" t="inlineStr">
        <is>
          <t>Abuse / denial of service</t>
        </is>
      </c>
      <c r="C22" s="15" t="inlineStr">
        <is>
          <t>Invalid JSON / invalid video ids on /api/vibe</t>
        </is>
      </c>
      <c r="D22" s="15" t="inlineStr">
        <is>
          <t>400</t>
        </is>
      </c>
      <c r="E22" s="16" t="inlineStr">
        <is>
          <t>Pass</t>
        </is>
      </c>
      <c r="F22" s="15" t="inlineStr"/>
    </row>
    <row r="23">
      <c r="A23" s="15" t="inlineStr">
        <is>
          <t>SEC22</t>
        </is>
      </c>
      <c r="B23" s="15" t="inlineStr">
        <is>
          <t>SSRF &amp; link handling</t>
        </is>
      </c>
      <c r="C23" s="15" t="inlineStr">
        <is>
          <t>Import http://169.254.169.254/latest/meta-data</t>
        </is>
      </c>
      <c r="D23" s="15" t="inlineStr">
        <is>
          <t>422 (not a YouTube link), no request made</t>
        </is>
      </c>
      <c r="E23" s="16" t="inlineStr">
        <is>
          <t>Pass</t>
        </is>
      </c>
      <c r="F23" s="15" t="inlineStr"/>
    </row>
    <row r="24">
      <c r="A24" s="15" t="inlineStr">
        <is>
          <t>SEC23</t>
        </is>
      </c>
      <c r="B24" s="15" t="inlineStr">
        <is>
          <t>SSRF &amp; link handling</t>
        </is>
      </c>
      <c r="C24" s="15" t="inlineStr">
        <is>
          <t>Import file:///etc/passwd</t>
        </is>
      </c>
      <c r="D24" s="15" t="inlineStr">
        <is>
          <t>422</t>
        </is>
      </c>
      <c r="E24" s="16" t="inlineStr">
        <is>
          <t>Pass</t>
        </is>
      </c>
      <c r="F24" s="15" t="inlineStr"/>
    </row>
    <row r="25">
      <c r="A25" s="15" t="inlineStr">
        <is>
          <t>SEC24</t>
        </is>
      </c>
      <c r="B25" s="15" t="inlineStr">
        <is>
          <t>SSRF &amp; link handling</t>
        </is>
      </c>
      <c r="C25" s="15" t="inlineStr">
        <is>
          <t>https://evil.com/youtube.com/watch?v=…</t>
        </is>
      </c>
      <c r="D25" s="15" t="inlineStr">
        <is>
          <t>422</t>
        </is>
      </c>
      <c r="E25" s="16" t="inlineStr">
        <is>
          <t>Pass</t>
        </is>
      </c>
      <c r="F25" s="15" t="inlineStr"/>
    </row>
    <row r="26">
      <c r="A26" s="15" t="inlineStr">
        <is>
          <t>SEC25</t>
        </is>
      </c>
      <c r="B26" s="15" t="inlineStr">
        <is>
          <t>SSRF &amp; link handling</t>
        </is>
      </c>
      <c r="C26" s="15" t="inlineStr">
        <is>
          <t>https://youtube.com.evil.com/watch?v=…</t>
        </is>
      </c>
      <c r="D26" s="15" t="inlineStr">
        <is>
          <t>422</t>
        </is>
      </c>
      <c r="E26" s="16" t="inlineStr">
        <is>
          <t>Pass</t>
        </is>
      </c>
      <c r="F26" s="15" t="inlineStr"/>
    </row>
    <row r="27">
      <c r="A27" s="15" t="inlineStr">
        <is>
          <t>SEC26</t>
        </is>
      </c>
      <c r="B27" s="15" t="inlineStr">
        <is>
          <t>Security headers &amp; browser policy</t>
        </is>
      </c>
      <c r="C27" s="15" t="inlineStr">
        <is>
          <t>Content-Security-Policy on pages</t>
        </is>
      </c>
      <c r="D27" s="15" t="inlineStr">
        <is>
          <t>script-src 'self' 'nonce-…' 'strict-dynamic', no unsafe-eval in production, object-src 'none', base-uri 'self', frame-ancestors 'none'</t>
        </is>
      </c>
      <c r="E27" s="16" t="inlineStr">
        <is>
          <t>Fixed &amp; Pass</t>
        </is>
      </c>
      <c r="F27" s="15" t="inlineStr">
        <is>
          <t>was missing</t>
        </is>
      </c>
    </row>
    <row r="28">
      <c r="A28" s="15" t="inlineStr">
        <is>
          <t>SEC27</t>
        </is>
      </c>
      <c r="B28" s="15" t="inlineStr">
        <is>
          <t>Security headers &amp; browser policy</t>
        </is>
      </c>
      <c r="C28" s="15" t="inlineStr">
        <is>
          <t>Nonce is unique per request</t>
        </is>
      </c>
      <c r="D28" s="15" t="inlineStr">
        <is>
          <t>Two requests → different nonces</t>
        </is>
      </c>
      <c r="E28" s="16" t="inlineStr">
        <is>
          <t>Pass</t>
        </is>
      </c>
      <c r="F28" s="15" t="inlineStr"/>
    </row>
    <row r="29">
      <c r="A29" s="15" t="inlineStr">
        <is>
          <t>SEC28</t>
        </is>
      </c>
      <c r="B29" s="15" t="inlineStr">
        <is>
          <t>Security headers &amp; browser policy</t>
        </is>
      </c>
      <c r="C29" s="15" t="inlineStr">
        <is>
          <t>Clickjacking</t>
        </is>
      </c>
      <c r="D29" s="15" t="inlineStr">
        <is>
          <t>X-Frame-Options: DENY + frame-ancestors 'none'</t>
        </is>
      </c>
      <c r="E29" s="16" t="inlineStr">
        <is>
          <t>Fixed &amp; Pass</t>
        </is>
      </c>
      <c r="F29" s="15" t="inlineStr"/>
    </row>
    <row r="30">
      <c r="A30" s="15" t="inlineStr">
        <is>
          <t>SEC29</t>
        </is>
      </c>
      <c r="B30" s="15" t="inlineStr">
        <is>
          <t>Security headers &amp; browser policy</t>
        </is>
      </c>
      <c r="C30" s="15" t="inlineStr">
        <is>
          <t>MIME sniffing</t>
        </is>
      </c>
      <c r="D30" s="15" t="inlineStr">
        <is>
          <t>X-Content-Type-Options: nosniff on pages and API</t>
        </is>
      </c>
      <c r="E30" s="16" t="inlineStr">
        <is>
          <t>Fixed &amp; Pass</t>
        </is>
      </c>
      <c r="F30" s="15" t="inlineStr"/>
    </row>
    <row r="31">
      <c r="A31" s="15" t="inlineStr">
        <is>
          <t>SEC30</t>
        </is>
      </c>
      <c r="B31" s="15" t="inlineStr">
        <is>
          <t>Security headers &amp; browser policy</t>
        </is>
      </c>
      <c r="C31" s="15" t="inlineStr">
        <is>
          <t>Referrer leakage</t>
        </is>
      </c>
      <c r="D31" s="15" t="inlineStr">
        <is>
          <t>Referrer-Policy: strict-origin-when-cross-origin</t>
        </is>
      </c>
      <c r="E31" s="16" t="inlineStr">
        <is>
          <t>Fixed &amp; Pass</t>
        </is>
      </c>
      <c r="F31" s="15" t="inlineStr"/>
    </row>
    <row r="32">
      <c r="A32" s="15" t="inlineStr">
        <is>
          <t>SEC31</t>
        </is>
      </c>
      <c r="B32" s="15" t="inlineStr">
        <is>
          <t>Security headers &amp; browser policy</t>
        </is>
      </c>
      <c r="C32" s="15" t="inlineStr">
        <is>
          <t>Powerful features</t>
        </is>
      </c>
      <c r="D32" s="15" t="inlineStr">
        <is>
          <t>Permissions-Policy disables camera, microphone, geolocation, payment, USB</t>
        </is>
      </c>
      <c r="E32" s="16" t="inlineStr">
        <is>
          <t>Fixed &amp; Pass</t>
        </is>
      </c>
      <c r="F32" s="15" t="inlineStr"/>
    </row>
    <row r="33">
      <c r="A33" s="15" t="inlineStr">
        <is>
          <t>SEC32</t>
        </is>
      </c>
      <c r="B33" s="15" t="inlineStr">
        <is>
          <t>Security headers &amp; browser policy</t>
        </is>
      </c>
      <c r="C33" s="15" t="inlineStr">
        <is>
          <t>Window isolation</t>
        </is>
      </c>
      <c r="D33" s="15" t="inlineStr">
        <is>
          <t>Cross-Origin-Opener-Policy: same-origin</t>
        </is>
      </c>
      <c r="E33" s="16" t="inlineStr">
        <is>
          <t>Fixed &amp; Pass</t>
        </is>
      </c>
      <c r="F33" s="15" t="inlineStr"/>
    </row>
    <row r="34">
      <c r="A34" s="15" t="inlineStr">
        <is>
          <t>SEC33</t>
        </is>
      </c>
      <c r="B34" s="15" t="inlineStr">
        <is>
          <t>Security headers &amp; browser policy</t>
        </is>
      </c>
      <c r="C34" s="15" t="inlineStr">
        <is>
          <t>HTTPS enforcement</t>
        </is>
      </c>
      <c r="D34" s="15" t="inlineStr">
        <is>
          <t>Strict-Transport-Security in production</t>
        </is>
      </c>
      <c r="E34" s="16" t="inlineStr">
        <is>
          <t>Fixed &amp; Pass</t>
        </is>
      </c>
      <c r="F34" s="15" t="inlineStr"/>
    </row>
    <row r="35">
      <c r="A35" s="15" t="inlineStr">
        <is>
          <t>SEC34</t>
        </is>
      </c>
      <c r="B35" s="15" t="inlineStr">
        <is>
          <t>Security headers &amp; browser policy</t>
        </is>
      </c>
      <c r="C35" s="15" t="inlineStr">
        <is>
          <t>Framework fingerprint</t>
        </is>
      </c>
      <c r="D35" s="15" t="inlineStr">
        <is>
          <t>No X-Powered-By header</t>
        </is>
      </c>
      <c r="E35" s="16" t="inlineStr">
        <is>
          <t>Pass</t>
        </is>
      </c>
      <c r="F35" s="15" t="inlineStr"/>
    </row>
    <row r="36">
      <c r="A36" s="15" t="inlineStr">
        <is>
          <t>SEC35</t>
        </is>
      </c>
      <c r="B36" s="15" t="inlineStr">
        <is>
          <t>Security headers &amp; browser policy</t>
        </is>
      </c>
      <c r="C36" s="15" t="inlineStr">
        <is>
          <t>CSP compatibility</t>
        </is>
      </c>
      <c r="D36" s="15" t="inlineStr">
        <is>
          <t>All flows (incl. YouTube player, thumbnails, fonts) work with zero CSP violations</t>
        </is>
      </c>
      <c r="E36" s="16" t="inlineStr">
        <is>
          <t>Pass</t>
        </is>
      </c>
      <c r="F36" s="15" t="inlineStr"/>
    </row>
    <row r="37">
      <c r="A37" s="15" t="inlineStr">
        <is>
          <t>SEC36</t>
        </is>
      </c>
      <c r="B37" s="15" t="inlineStr">
        <is>
          <t>Security headers &amp; browser policy</t>
        </is>
      </c>
      <c r="C37" s="15" t="inlineStr">
        <is>
          <t>Dependencies</t>
        </is>
      </c>
      <c r="D37" s="15" t="inlineStr">
        <is>
          <t>npm audit --omit=dev: 0 vulnerabilities</t>
        </is>
      </c>
      <c r="E37" s="16" t="inlineStr">
        <is>
          <t>Pass</t>
        </is>
      </c>
      <c r="F37" s="15" t="inlineStr"/>
    </row>
    <row r="38">
      <c r="A38" s="15" t="inlineStr">
        <is>
          <t>SEC37</t>
        </is>
      </c>
      <c r="B38" s="15" t="inlineStr">
        <is>
          <t>Security headers &amp; browser policy</t>
        </is>
      </c>
      <c r="C38" s="15" t="inlineStr">
        <is>
          <t>Source scan</t>
        </is>
      </c>
      <c r="D38" s="15" t="inlineStr">
        <is>
          <t>No dangerouslySetInnerHTML, no eval, no control characters in sources</t>
        </is>
      </c>
      <c r="E38" s="16" t="inlineStr">
        <is>
          <t>Pass</t>
        </is>
      </c>
      <c r="F38" s="15" t="inlineStr"/>
    </row>
  </sheetData>
  <conditionalFormatting sqref="E2:E38">
    <cfRule type="cellIs" priority="1" operator="equal" dxfId="0">
      <formula>"Pass"</formula>
    </cfRule>
    <cfRule type="cellIs" priority="2" operator="equal" dxfId="1">
      <formula>"Fixed &amp; Pass"</formula>
    </cfRule>
    <cfRule type="cellIs" priority="3" operator="equal" dxfId="2">
      <formula>"Fail"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5" customWidth="1" min="2" max="2"/>
  </cols>
  <sheetData>
    <row r="1" ht="22" customHeight="1">
      <c r="A1" s="14" t="inlineStr">
        <is>
          <t>Risk</t>
        </is>
      </c>
      <c r="B1" s="14" t="inlineStr">
        <is>
          <t>Why accepted / mitigation</t>
        </is>
      </c>
    </row>
    <row r="2">
      <c r="A2" s="15" t="inlineStr">
        <is>
          <t>Edit keys are kept in localStorage ("Your tapes")</t>
        </is>
      </c>
      <c r="B2" s="15" t="inlineStr">
        <is>
          <t>Needed without accounts; protected by the strict CSP</t>
        </is>
      </c>
    </row>
    <row r="3">
      <c r="A3" s="15" t="inlineStr">
        <is>
          <t>Rate limits are in memory, per server process</t>
        </is>
      </c>
      <c r="B3" s="15" t="inlineStr">
        <is>
          <t>Fine for one server; move to a shared store (e.g. Postgres/Redis) on serverless hosting</t>
        </is>
      </c>
    </row>
    <row r="4">
      <c r="A4" s="15" t="inlineStr">
        <is>
          <t>Without TRUST_PROXY, all clients share one rate-limit bucket</t>
        </is>
      </c>
      <c r="B4" s="15" t="inlineStr">
        <is>
          <t>Safe default; set TRUST_PROXY=1 behind a trusted proxy (automatic on Vercel)</t>
        </is>
      </c>
    </row>
    <row r="5">
      <c r="A5" s="15" t="inlineStr">
        <is>
          <t>The YouTube player is hidden</t>
        </is>
      </c>
      <c r="B5" s="15" t="inlineStr">
        <is>
          <t>Conflicts with YouTube's embed policy for a public launch; the 📺 toggle reveals it</t>
        </is>
      </c>
    </row>
    <row r="6">
      <c r="A6" s="15" t="inlineStr">
        <is>
          <t>YouTube / iTunes page formats can change</t>
        </is>
      </c>
      <c r="B6" s="15" t="inlineStr">
        <is>
          <t>Playlist import, search and mood data would need an update; errors are handled with friendly messages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2026-10-31T12:56:46Z</dcterms:created>
  <dcterms:modified xsi:type="dcterms:W3CDTF">2026-10-31T12:56:46Z</dcterms:modified>
</cp:coreProperties>
</file>